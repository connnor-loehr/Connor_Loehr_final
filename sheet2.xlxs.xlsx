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onnor Loehr\Desktop\Last Final Class\Masters Thesis\"/>
    </mc:Choice>
  </mc:AlternateContent>
  <xr:revisionPtr revIDLastSave="0" documentId="13_ncr:1_{B81F5ACB-118E-4AE0-A580-B43F4473065C}" xr6:coauthVersionLast="47" xr6:coauthVersionMax="47" xr10:uidLastSave="{00000000-0000-0000-0000-000000000000}"/>
  <bookViews>
    <workbookView xWindow="-28965" yWindow="-1620" windowWidth="29130" windowHeight="15810" xr2:uid="{26FD26ED-FA00-4B50-ABA9-6943EB232E77}"/>
  </bookViews>
  <sheets>
    <sheet name="Sheet1" sheetId="1" r:id="rId1"/>
    <sheet name="Sheet2" sheetId="2" r:id="rId2"/>
    <sheet name="Sheet3" sheetId="3" r:id="rId3"/>
    <sheet name="Sheet4" sheetId="4" r:id="rId4"/>
  </sheets>
  <definedNames>
    <definedName name="_xlchart.v1.0" hidden="1">Sheet4!$A$2:$A$8</definedName>
    <definedName name="_xlchart.v1.1" hidden="1">Sheet4!$B$1</definedName>
    <definedName name="_xlchart.v1.2" hidden="1">Sheet4!$B$2:$B$8</definedName>
    <definedName name="_xlchart.v1.3" hidden="1">Sheet4!$C$1</definedName>
    <definedName name="_xlchart.v1.4" hidden="1">Sheet4!$C$2:$C$8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a="1"/>
  <c r="B2" i="4" s="1"/>
  <c r="B1" i="4"/>
  <c r="AI2" i="2" a="1"/>
  <c r="AI2" i="2" s="1"/>
  <c r="AJ2" i="2" a="1"/>
  <c r="AJ2" i="2" s="1"/>
  <c r="AK2" i="2" a="1"/>
  <c r="AK2" i="2" s="1"/>
  <c r="AL2" i="2" a="1"/>
  <c r="AL2" i="2" s="1"/>
  <c r="AM2" i="2" a="1"/>
  <c r="AM2" i="2" s="1"/>
  <c r="AN2" i="2" a="1"/>
  <c r="AN2" i="2" s="1"/>
  <c r="AO2" i="2" a="1"/>
  <c r="AO2" i="2" s="1"/>
  <c r="AI1" i="2" a="1"/>
  <c r="AI1" i="2" s="1"/>
  <c r="AJ1" i="2" a="1"/>
  <c r="AJ1" i="2" s="1"/>
  <c r="AK1" i="2" a="1"/>
  <c r="AK1" i="2" s="1"/>
  <c r="AL1" i="2" a="1"/>
  <c r="AL1" i="2" s="1"/>
  <c r="AM1" i="2" a="1"/>
  <c r="AM1" i="2"/>
  <c r="AN1" i="2" a="1"/>
  <c r="AN1" i="2"/>
  <c r="AO1" i="2" a="1"/>
  <c r="AO1" i="2" s="1"/>
  <c r="AH2" i="2" a="1"/>
  <c r="AH2" i="2" s="1"/>
  <c r="AH1" i="2" a="1"/>
  <c r="AH1" i="2" s="1"/>
  <c r="AG2" i="2" a="1"/>
  <c r="AG2" i="2" s="1"/>
  <c r="AG1" i="2" a="1"/>
  <c r="AG1" i="2"/>
  <c r="AF2" i="2" a="1"/>
  <c r="AF2" i="2" s="1"/>
  <c r="AF1" i="2" a="1"/>
  <c r="AF1" i="2"/>
  <c r="AD2" i="2" a="1"/>
  <c r="AD2" i="2" s="1"/>
  <c r="AD1" i="2" a="1"/>
  <c r="AD1" i="2" s="1"/>
  <c r="AC2" i="2" a="1"/>
  <c r="AC2" i="2" s="1"/>
  <c r="AC1" i="2" a="1"/>
  <c r="AC1" i="2" s="1"/>
  <c r="AB2" i="2" a="1"/>
  <c r="AB2" i="2" s="1"/>
  <c r="AB1" i="2" a="1"/>
  <c r="AB1" i="2" s="1"/>
  <c r="V2" i="2" a="1"/>
  <c r="V2" i="2" s="1"/>
  <c r="Y2" i="2" s="1"/>
  <c r="V1" i="2" a="1"/>
  <c r="V1" i="2" s="1"/>
  <c r="U1" i="2" a="1"/>
  <c r="U1" i="2" s="1"/>
  <c r="T2" i="2" a="1"/>
  <c r="T2" i="2" s="1"/>
  <c r="W2" i="2" s="1"/>
  <c r="T1" i="2" a="1"/>
  <c r="T1" i="2" s="1"/>
  <c r="Q2" i="2" a="1"/>
  <c r="Q2" i="2" s="1"/>
  <c r="Q1" i="2" a="1"/>
  <c r="Q1" i="2" s="1"/>
  <c r="P2" i="2" a="1"/>
  <c r="P2" i="2" s="1"/>
  <c r="P1" i="2" a="1"/>
  <c r="P1" i="2" s="1"/>
  <c r="O2" i="2" a="1"/>
  <c r="O2" i="2" s="1"/>
  <c r="O1" i="2" a="1"/>
  <c r="O1" i="2" s="1"/>
  <c r="N2" i="2" a="1"/>
  <c r="N2" i="2" s="1"/>
  <c r="N1" i="2" a="1"/>
  <c r="N1" i="2"/>
  <c r="K2" i="2" a="1"/>
  <c r="K2" i="2" s="1"/>
  <c r="K1" i="2" a="1"/>
  <c r="K1" i="2" s="1"/>
  <c r="J2" i="2" a="1"/>
  <c r="J2" i="2" s="1"/>
  <c r="J1" i="2" a="1"/>
  <c r="J1" i="2" s="1"/>
  <c r="I2" i="2" a="1"/>
  <c r="I2" i="2" s="1"/>
  <c r="I1" i="2" a="1"/>
  <c r="I1" i="2"/>
  <c r="H2" i="2" a="1"/>
  <c r="H2" i="2" s="1"/>
  <c r="H1" i="2" a="1"/>
  <c r="H1" i="2" s="1"/>
  <c r="E2" i="2" a="1"/>
  <c r="E2" i="2" s="1"/>
  <c r="E1" i="2" a="1"/>
  <c r="E1" i="2" s="1"/>
  <c r="D2" i="2" a="1"/>
  <c r="D2" i="2" s="1"/>
  <c r="D1" i="2" a="1"/>
  <c r="D1" i="2" s="1"/>
  <c r="C2" i="2" a="1"/>
  <c r="C2" i="2" s="1"/>
  <c r="C1" i="2" a="1"/>
  <c r="C1" i="2" s="1"/>
  <c r="B2" i="2" a="1"/>
  <c r="B2" i="2" s="1"/>
  <c r="B1" i="2" a="1"/>
  <c r="B1" i="2" s="1"/>
  <c r="A2" i="2" a="1"/>
  <c r="A2" i="2" s="1"/>
  <c r="A1" i="3" s="1" a="1"/>
  <c r="A1" i="2" a="1"/>
  <c r="A1" i="2" s="1"/>
  <c r="A1" i="3" l="1"/>
  <c r="A1" i="4" s="1" a="1"/>
  <c r="A1" i="4" s="1"/>
  <c r="AP2" i="2" a="1"/>
  <c r="AP2" i="2" s="1"/>
  <c r="AP3" i="2" a="1"/>
  <c r="AP3" i="2" s="1"/>
  <c r="AP9" i="2" a="1"/>
  <c r="AP9" i="2" s="1"/>
  <c r="AP8" i="2" a="1"/>
  <c r="AP8" i="2" s="1"/>
  <c r="AP5" i="2" a="1"/>
  <c r="AP5" i="2" s="1"/>
  <c r="AP4" i="2" a="1"/>
  <c r="AP4" i="2" s="1"/>
  <c r="R2" i="2"/>
  <c r="Y9" i="2"/>
  <c r="Y8" i="2"/>
  <c r="Y7" i="2"/>
  <c r="Y6" i="2"/>
  <c r="Y5" i="2"/>
  <c r="Y4" i="2"/>
  <c r="Y3" i="2"/>
  <c r="F2" i="2"/>
  <c r="R9" i="2"/>
  <c r="R7" i="2"/>
  <c r="R8" i="2"/>
  <c r="R6" i="2"/>
  <c r="R4" i="2"/>
  <c r="R5" i="2"/>
  <c r="R3" i="2"/>
  <c r="F4" i="2"/>
  <c r="F9" i="2"/>
  <c r="F3" i="2"/>
  <c r="F6" i="2"/>
  <c r="F8" i="2"/>
  <c r="AE2" i="2"/>
  <c r="F7" i="2"/>
  <c r="F5" i="2"/>
  <c r="AE3" i="2"/>
  <c r="AE4" i="2"/>
  <c r="AE9" i="2"/>
  <c r="AE8" i="2"/>
  <c r="AE7" i="2"/>
  <c r="AE6" i="2"/>
  <c r="AE5" i="2"/>
  <c r="L2" i="2"/>
  <c r="W4" i="2"/>
  <c r="W3" i="2"/>
  <c r="W6" i="2"/>
  <c r="W7" i="2"/>
  <c r="W9" i="2"/>
  <c r="W5" i="2"/>
  <c r="W8" i="2"/>
  <c r="L9" i="2"/>
  <c r="L8" i="2"/>
  <c r="L6" i="2"/>
  <c r="L7" i="2"/>
  <c r="L5" i="2"/>
  <c r="L4" i="2"/>
  <c r="L3" i="2"/>
  <c r="X8" i="2"/>
  <c r="X2" i="2"/>
  <c r="Z2" i="2" s="1"/>
  <c r="X7" i="2"/>
  <c r="X5" i="2"/>
  <c r="X6" i="2"/>
  <c r="X4" i="2"/>
  <c r="X3" i="2"/>
  <c r="X9" i="2"/>
  <c r="AP7" i="2" a="1"/>
  <c r="AP7" i="2" s="1"/>
  <c r="AP6" i="2" a="1"/>
  <c r="AP6" i="2" s="1"/>
  <c r="Z9" i="2" l="1"/>
  <c r="AR9" i="2" s="1"/>
  <c r="Z7" i="2"/>
  <c r="AR7" i="2" s="1"/>
  <c r="Z6" i="2"/>
  <c r="AR6" i="2" s="1"/>
  <c r="Z5" i="2"/>
  <c r="AR5" i="2" s="1"/>
  <c r="AR2" i="2"/>
  <c r="Z3" i="2"/>
  <c r="AR3" i="2" s="1"/>
  <c r="Z4" i="2"/>
  <c r="AR4" i="2" s="1"/>
  <c r="Z8" i="2"/>
  <c r="AR8" i="2" s="1"/>
  <c r="AS6" i="2" l="1"/>
  <c r="AS7" i="2"/>
  <c r="AS2" i="2"/>
  <c r="AS3" i="2"/>
  <c r="AS9" i="2"/>
  <c r="AS5" i="2"/>
  <c r="AS4" i="2"/>
  <c r="AS8" i="2"/>
  <c r="B1" i="3" l="1" a="1"/>
  <c r="B1" i="3" s="1"/>
  <c r="C1" i="4" s="1"/>
  <c r="C2" i="4" l="1" a="1"/>
  <c r="C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<sst xmlns="http://schemas.openxmlformats.org/spreadsheetml/2006/main" count="60" uniqueCount="60">
  <si>
    <t>Urban Center</t>
  </si>
  <si>
    <t>Area square miles</t>
  </si>
  <si>
    <t>Population</t>
  </si>
  <si>
    <t>Employment %</t>
  </si>
  <si>
    <t>Households</t>
  </si>
  <si>
    <t>Median Household Income $</t>
  </si>
  <si>
    <t>Housing Units</t>
  </si>
  <si>
    <t>Bachelors Degree %</t>
  </si>
  <si>
    <t>Median Age</t>
  </si>
  <si>
    <t>65 and Older %</t>
  </si>
  <si>
    <t>Veterans %</t>
  </si>
  <si>
    <t>School Enrolled %</t>
  </si>
  <si>
    <t>Under 18 %</t>
  </si>
  <si>
    <t>Government Employed %</t>
  </si>
  <si>
    <t>Healthcare Employed %</t>
  </si>
  <si>
    <t>Retail Employed %</t>
  </si>
  <si>
    <t>Education Employed %</t>
  </si>
  <si>
    <t>Manufacturing Employed %</t>
  </si>
  <si>
    <t>Hospitality Employed %</t>
  </si>
  <si>
    <t>Construction Employed %</t>
  </si>
  <si>
    <t>Agriculture Employed %</t>
  </si>
  <si>
    <t>%Poverty</t>
  </si>
  <si>
    <t>%Disabled</t>
  </si>
  <si>
    <t>%w/o Health Ins</t>
  </si>
  <si>
    <t>V &amp; E Score</t>
  </si>
  <si>
    <t>%Homeowner</t>
  </si>
  <si>
    <t>%Vacancy</t>
  </si>
  <si>
    <t>HS Score</t>
  </si>
  <si>
    <t>DR Score</t>
  </si>
  <si>
    <t>Income</t>
  </si>
  <si>
    <t>Employment</t>
  </si>
  <si>
    <t>Poverty</t>
  </si>
  <si>
    <t>ES Score</t>
  </si>
  <si>
    <t>HC&amp;A Score</t>
  </si>
  <si>
    <t>ED Score</t>
  </si>
  <si>
    <t>Viability Raw Score</t>
  </si>
  <si>
    <t>Potentiality Ranking</t>
  </si>
  <si>
    <t>Erie, PA</t>
  </si>
  <si>
    <t>Morgantown, WV</t>
  </si>
  <si>
    <t>Altoona, PA</t>
  </si>
  <si>
    <t>Zaneville, OH</t>
  </si>
  <si>
    <t>Marion, OH</t>
  </si>
  <si>
    <t>Lima, OH</t>
  </si>
  <si>
    <t>Wheeling, WV</t>
  </si>
  <si>
    <t>Population has hovered near 30k with very small year‑to‑year change after a mid‑2010s peak, indicating near‑zero recent growth</t>
  </si>
  <si>
    <t>City‑proper population has been essentially flat to slightly declining in recent annual estimates, consistent with slow regional decline</t>
  </si>
  <si>
    <t>Erie is a mid‑sized city showing small negative annual change in recent estimates (slight decline overall)</t>
  </si>
  <si>
    <t>City‑proper counts sit in the mid‑20ks and have trended flat or slightly down since 2000, signaling long‑term stagnation</t>
  </si>
  <si>
    <t>Marion’s city population has edged down or held nearly flat in recent years, showing modest decline from earlier peaks</t>
  </si>
  <si>
    <t>Lima’s city‑proper population sits in the mid‑30ks with small negative annual growth in recent estimates</t>
  </si>
  <si>
    <t>Wheeling’s city population is in the mid‑20ks and has shown long‑term flat to slightly declining trends typical of older industrial river towns</t>
  </si>
  <si>
    <t>Canandaigua</t>
  </si>
  <si>
    <t>Geneva</t>
  </si>
  <si>
    <t>Dansville</t>
  </si>
  <si>
    <t>Wayland</t>
  </si>
  <si>
    <t>Geneseo</t>
  </si>
  <si>
    <t>Batavia</t>
  </si>
  <si>
    <t>Brockport</t>
  </si>
  <si>
    <t>Rochester</t>
  </si>
  <si>
    <t>eight city‑proper places (pop. 20k–125k) that lie within ~2¼ hours of Rochester, are more than 1.5 hours from Buffalo or Syracuse, and show recent stagnant or slightly negative population trends. Each entry lists city population (city proper), approx. drive time from Pittsburgh, drive time from Cleveland, and a one‑line growth rationale.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</si>
</sst>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4" formatCode="_(&quot;$&quot;* #,##0.00_);_(&quot;$&quot;* \(#,##0.00\);_(&quot;$&quot;* &quot;-&quot;??_);_(@_)"/>
    <numFmt numFmtId="164" formatCode="0.0%"/>
    <numFmt numFmtId="165" formatCode="0.0"/>
    <numFmt numFmtId="166" formatCode="0.000"/>
    <numFmt numFmtId="167" formatCode="_(* #,##0.0_);_(* \(#,##0.0\);_(* &quot;-&quot;_);_(@_)"/>
  </numFmts>
  <fonts count="3" x14ac:knownFonts="1">
    <font>
      <sz val="11"/>
      <color theme="1"/>
      <name val="Aptos Narrow"/>
      <family val="2"/>
      <scheme val="minor"/>
    </font>
    <font>
      <sz val="11"/>
      <color theme="1"/>
      <name val="Aptos Narrow"/>
      <family val="2"/>
      <scheme val="minor"/>
    </font>
    <font>
      <sz val="11"/>
      <color theme="1"/>
      <name val="Aptos"/>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64" fontId="0" fillId="0" borderId="0" xfId="2" applyNumberFormat="1" applyFont="1"/>
    <xf numFmtId="44" fontId="0" fillId="0" borderId="0" xfId="1" applyFont="1"/>
    <xf numFmtId="3" fontId="0" fillId="0" borderId="0" xfId="0" applyNumberFormat="1"/>
    <xf numFmtId="165" fontId="0" fillId="0" borderId="0" xfId="0" applyNumberFormat="1"/>
    <xf numFmtId="0" fontId="0" fillId="2" borderId="0" xfId="0" applyFill="1"/>
    <xf numFmtId="164" fontId="0" fillId="2" borderId="0" xfId="2" applyNumberFormat="1" applyFont="1" applyFill="1"/>
    <xf numFmtId="44" fontId="0" fillId="2" borderId="0" xfId="1" applyFont="1" applyFill="1"/>
    <xf numFmtId="2" fontId="0" fillId="0" borderId="0" xfId="0" applyNumberFormat="1"/>
    <xf numFmtId="166" fontId="0" fillId="0" borderId="0" xfId="0" applyNumberFormat="1"/>
    <xf numFmtId="1" fontId="0" fillId="0" borderId="0" xfId="0" applyNumberFormat="1"/>
    <xf numFmtId="1" fontId="0" fillId="0" borderId="0" xfId="2" applyNumberFormat="1" applyFont="1"/>
    <xf numFmtId="1" fontId="2" fillId="0" borderId="0" xfId="0" applyNumberFormat="1" applyFont="1" applyAlignment="1">
      <alignment vertical="center"/>
    </xf>
    <xf numFmtId="41" fontId="0" fillId="0" borderId="0" xfId="0" applyNumberFormat="1"/>
    <xf numFmtId="167" fontId="0" fillId="0" borderId="0" xfId="0" applyNumberFormat="1"/>
    <xf numFmtId="164" fontId="0" fillId="0" borderId="0" xfId="2" applyNumberFormat="1" applyFont="1" applyAlignment="1">
      <alignment horizontal="center" wrapText="1"/>
    </xf>
    <xf numFmtId="0" fontId="0" fillId="0" borderId="0" xfId="0"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Viability | Potentiality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Viability | Potentiality </a:t>
          </a:r>
        </a:p>
      </cx:txPr>
    </cx:title>
    <cx:plotArea>
      <cx:plotAreaRegion>
        <cx:series layoutId="clusteredColumn" uniqueId="{257FFAC0-E41E-4541-9F16-5A07CF7E08EE}" formatIdx="0">
          <cx:tx>
            <cx:txData>
              <cx:f>_xlchart.v1.1</cx:f>
              <cx:v>Viability Raw Score</cx:v>
            </cx:txData>
          </cx:tx>
          <cx:dataId val="0"/>
          <cx:layoutPr>
            <cx:aggregation/>
          </cx:layoutPr>
          <cx:axisId val="1"/>
        </cx:series>
        <cx:series layoutId="paretoLine" ownerIdx="0" uniqueId="{B259A9CE-CB51-4399-A4F8-A877AE0E87E9}" formatIdx="1">
          <cx:axisId val="3"/>
        </cx:series>
        <cx:series layoutId="clusteredColumn" hidden="1" uniqueId="{4F89987D-8B80-470B-8DC9-3693385DE830}" formatIdx="2">
          <cx:tx>
            <cx:txData>
              <cx:f>_xlchart.v1.3</cx:f>
              <cx:v>Potentiality Ranking</cx:v>
            </cx:txData>
          </cx:tx>
          <cx:dataId val="1"/>
          <cx:layoutPr>
            <cx:aggregation/>
          </cx:layoutPr>
          <cx:axisId val="1"/>
        </cx:series>
        <cx:series layoutId="paretoLine" ownerIdx="2" uniqueId="{1CE37100-E6F4-4D8B-A453-E3D650D180A9}" formatIdx="3">
          <cx:axisId val="3"/>
        </cx:series>
      </cx:plotAreaRegion>
      <cx:axis id="0">
        <cx:catScaling gapWidth="0"/>
        <cx:tickLabels/>
      </cx:axis>
      <cx:axis id="1">
        <cx:valScaling/>
        <cx:majorGridlines/>
        <cx:tickLabels/>
      </cx:axis>
      <cx:axis id="3">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339725</xdr:colOff>
      <xdr:row>1</xdr:row>
      <xdr:rowOff>82550</xdr:rowOff>
    </xdr:from>
    <xdr:to>
      <xdr:col>13</xdr:col>
      <xdr:colOff>34925</xdr:colOff>
      <xdr:row>16</xdr:row>
      <xdr:rowOff>63500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D845366-2B2F-CC25-E3DD-4217E1BD88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266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BDB2C-D143-41DC-A1DC-7A2694457A48}">
  <dimension ref="A1:Z15"/>
  <sheetViews>
    <sheetView tabSelected="1" workbookViewId="0">
      <selection activeCell="D12" sqref="D12:H15"/>
    </sheetView>
  </sheetViews>
  <sheetFormatPr defaultRowHeight="14.5" x14ac:dyDescent="0.35"/>
  <cols>
    <col min="1" max="1" width="11.6328125" bestFit="1" customWidth="1"/>
    <col min="2" max="2" width="15.26953125" bestFit="1" customWidth="1"/>
    <col min="3" max="3" width="9.453125" bestFit="1" customWidth="1"/>
    <col min="4" max="4" width="12.7265625" style="1" bestFit="1" customWidth="1"/>
    <col min="5" max="5" width="10.36328125" bestFit="1" customWidth="1"/>
    <col min="6" max="6" width="25" style="2" bestFit="1" customWidth="1"/>
    <col min="7" max="7" width="12" bestFit="1" customWidth="1"/>
    <col min="8" max="8" width="17.1796875" style="1" bestFit="1" customWidth="1"/>
    <col min="9" max="9" width="13.81640625" style="1" bestFit="1" customWidth="1"/>
    <col min="10" max="10" width="10.08984375" bestFit="1" customWidth="1"/>
    <col min="11" max="11" width="13" style="1" bestFit="1" customWidth="1"/>
    <col min="12" max="12" width="10" style="1" bestFit="1" customWidth="1"/>
    <col min="13" max="13" width="8.36328125" style="1" bestFit="1" customWidth="1"/>
    <col min="14" max="14" width="15.1796875" style="1" bestFit="1" customWidth="1"/>
    <col min="15" max="15" width="9.26953125" style="1" bestFit="1" customWidth="1"/>
    <col min="16" max="16" width="12.08984375" style="1" bestFit="1" customWidth="1"/>
    <col min="17" max="17" width="9.453125" style="1" bestFit="1" customWidth="1"/>
    <col min="18" max="18" width="10" style="1" bestFit="1" customWidth="1"/>
    <col min="19" max="19" width="21.08984375" style="1" bestFit="1" customWidth="1"/>
    <col min="20" max="20" width="20.08984375" style="1" bestFit="1" customWidth="1"/>
    <col min="21" max="21" width="15.6328125" style="1" bestFit="1" customWidth="1"/>
    <col min="22" max="22" width="19.1796875" style="1" bestFit="1" customWidth="1"/>
    <col min="23" max="23" width="22.81640625" style="1" bestFit="1" customWidth="1"/>
    <col min="24" max="24" width="19.7265625" style="1" bestFit="1" customWidth="1"/>
    <col min="25" max="25" width="21.7265625" style="1" bestFit="1" customWidth="1"/>
    <col min="26" max="26" width="19.90625" style="1" bestFit="1" customWidth="1"/>
  </cols>
  <sheetData>
    <row r="1" spans="1:26" x14ac:dyDescent="0.35">
      <c r="A1" s="5" t="s">
        <v>0</v>
      </c>
      <c r="B1" s="5" t="s">
        <v>1</v>
      </c>
      <c r="C1" s="5" t="s">
        <v>2</v>
      </c>
      <c r="D1" s="6" t="s">
        <v>3</v>
      </c>
      <c r="E1" s="5" t="s">
        <v>4</v>
      </c>
      <c r="F1" s="7" t="s">
        <v>5</v>
      </c>
      <c r="G1" s="5" t="s">
        <v>6</v>
      </c>
      <c r="H1" s="6" t="s">
        <v>7</v>
      </c>
      <c r="I1" s="6" t="s">
        <v>23</v>
      </c>
      <c r="J1" s="5" t="s">
        <v>8</v>
      </c>
      <c r="K1" s="6" t="s">
        <v>9</v>
      </c>
      <c r="L1" s="6" t="s">
        <v>10</v>
      </c>
      <c r="M1" s="6" t="s">
        <v>21</v>
      </c>
      <c r="N1" s="6" t="s">
        <v>11</v>
      </c>
      <c r="O1" s="6" t="s">
        <v>26</v>
      </c>
      <c r="P1" s="6" t="s">
        <v>25</v>
      </c>
      <c r="Q1" s="6" t="s">
        <v>22</v>
      </c>
      <c r="R1" s="6" t="s">
        <v>12</v>
      </c>
      <c r="S1" s="6" t="s">
        <v>13</v>
      </c>
      <c r="T1" s="6" t="s">
        <v>14</v>
      </c>
      <c r="U1" s="6" t="s">
        <v>15</v>
      </c>
      <c r="V1" s="6" t="s">
        <v>16</v>
      </c>
      <c r="W1" s="6" t="s">
        <v>17</v>
      </c>
      <c r="X1" s="6" t="s">
        <v>18</v>
      </c>
      <c r="Y1" s="6" t="s">
        <v>19</v>
      </c>
      <c r="Z1" s="6" t="s">
        <v>20</v>
      </c>
    </row>
    <row r="2" spans="1:26" x14ac:dyDescent="0.35">
      <c r="A2" t="s">
        <v>51</v>
      </c>
      <c r="B2">
        <v>4.5999999999999996</v>
      </c>
      <c r="C2" s="3">
        <v>10576</v>
      </c>
      <c r="D2" s="1">
        <v>0.59699999999999998</v>
      </c>
      <c r="E2" s="3">
        <v>5019</v>
      </c>
      <c r="F2" s="2">
        <v>63268</v>
      </c>
      <c r="G2" s="3">
        <v>5433</v>
      </c>
      <c r="H2" s="1">
        <v>0.39100000000000001</v>
      </c>
      <c r="I2" s="1">
        <v>4.2999999999999997E-2</v>
      </c>
      <c r="J2">
        <v>41.4</v>
      </c>
      <c r="K2" s="1">
        <v>0.23200000000000001</v>
      </c>
      <c r="L2" s="1">
        <v>7.9000000000000001E-2</v>
      </c>
      <c r="M2" s="1">
        <v>9.4E-2</v>
      </c>
      <c r="N2" s="1">
        <v>0.626</v>
      </c>
      <c r="O2" s="1">
        <v>7.5999999999999998E-2</v>
      </c>
      <c r="P2" s="1">
        <v>0.48499999999999999</v>
      </c>
      <c r="Q2" s="1">
        <v>0.20100000000000001</v>
      </c>
      <c r="R2" s="1">
        <v>0.159</v>
      </c>
      <c r="S2" s="1">
        <v>5.0999999999999997E-2</v>
      </c>
      <c r="T2" s="1">
        <v>0.20899999999999999</v>
      </c>
      <c r="U2" s="1">
        <v>0.122</v>
      </c>
      <c r="V2" s="1">
        <v>0.127</v>
      </c>
      <c r="W2" s="1">
        <v>8.5999999999999993E-2</v>
      </c>
      <c r="X2" s="1">
        <v>0.11600000000000001</v>
      </c>
      <c r="Y2" s="1">
        <v>5.2999999999999999E-2</v>
      </c>
      <c r="Z2" s="1">
        <v>5.0000000000000001E-3</v>
      </c>
    </row>
    <row r="3" spans="1:26" x14ac:dyDescent="0.35">
      <c r="A3" t="s">
        <v>52</v>
      </c>
      <c r="B3">
        <v>4.2</v>
      </c>
      <c r="C3" s="3">
        <v>12812</v>
      </c>
      <c r="D3" s="1">
        <v>0.57699999999999996</v>
      </c>
      <c r="E3" s="3">
        <v>4878</v>
      </c>
      <c r="F3" s="2">
        <v>68242</v>
      </c>
      <c r="G3" s="3">
        <v>5463</v>
      </c>
      <c r="H3" s="1">
        <v>0.34100000000000003</v>
      </c>
      <c r="I3" s="1">
        <v>0.04</v>
      </c>
      <c r="J3">
        <v>33.299999999999997</v>
      </c>
      <c r="K3" s="1">
        <v>0.14699999999999999</v>
      </c>
      <c r="L3" s="1">
        <v>3.6999999999999998E-2</v>
      </c>
      <c r="M3" s="1">
        <v>0.183</v>
      </c>
      <c r="N3" s="1">
        <v>0.28999999999999998</v>
      </c>
      <c r="O3" s="1">
        <v>0.10199999999999999</v>
      </c>
      <c r="P3" s="1">
        <v>0.49199999999999999</v>
      </c>
      <c r="Q3" s="1">
        <v>0.152</v>
      </c>
      <c r="R3" s="1">
        <v>0.16700000000000001</v>
      </c>
      <c r="S3" s="1">
        <v>4.3999999999999997E-2</v>
      </c>
      <c r="T3" s="1">
        <v>0.152</v>
      </c>
      <c r="U3" s="1">
        <v>0.13700000000000001</v>
      </c>
      <c r="V3" s="1">
        <v>0.224</v>
      </c>
      <c r="W3" s="1">
        <v>9.9000000000000005E-2</v>
      </c>
      <c r="X3" s="1">
        <v>0.128</v>
      </c>
      <c r="Y3" s="1">
        <v>2.1000000000000001E-2</v>
      </c>
      <c r="Z3" s="1">
        <v>2.3E-2</v>
      </c>
    </row>
    <row r="4" spans="1:26" x14ac:dyDescent="0.35">
      <c r="A4" t="s">
        <v>53</v>
      </c>
      <c r="B4">
        <v>2.6</v>
      </c>
      <c r="C4" s="3">
        <v>4433</v>
      </c>
      <c r="D4" s="1">
        <v>0.54700000000000004</v>
      </c>
      <c r="E4" s="3">
        <v>2206</v>
      </c>
      <c r="F4" s="2">
        <v>57500</v>
      </c>
      <c r="G4" s="3">
        <v>2364</v>
      </c>
      <c r="H4" s="1">
        <v>0.191</v>
      </c>
      <c r="I4" s="1">
        <v>4.2000000000000003E-2</v>
      </c>
      <c r="J4">
        <v>44.7</v>
      </c>
      <c r="K4" s="1">
        <v>0.20499999999999999</v>
      </c>
      <c r="L4" s="1">
        <v>7.0999999999999994E-2</v>
      </c>
      <c r="M4" s="1">
        <v>0.104</v>
      </c>
      <c r="N4" s="1">
        <v>0.92900000000000005</v>
      </c>
      <c r="O4" s="1">
        <v>6.6000000000000003E-2</v>
      </c>
      <c r="P4" s="1">
        <v>0.76800000000000002</v>
      </c>
      <c r="Q4" s="1">
        <v>0.193</v>
      </c>
      <c r="R4" s="1">
        <v>0.17799999999999999</v>
      </c>
      <c r="S4" s="1">
        <v>5.8000000000000003E-2</v>
      </c>
      <c r="T4" s="1">
        <v>0.16700000000000001</v>
      </c>
      <c r="U4" s="1">
        <v>9.4E-2</v>
      </c>
      <c r="V4" s="1">
        <v>0.11600000000000001</v>
      </c>
      <c r="W4" s="1">
        <v>0.113</v>
      </c>
      <c r="X4" s="1">
        <v>5.0999999999999997E-2</v>
      </c>
      <c r="Y4" s="1">
        <v>0.111</v>
      </c>
      <c r="Z4" s="1">
        <v>4.9000000000000002E-2</v>
      </c>
    </row>
    <row r="5" spans="1:26" x14ac:dyDescent="0.35">
      <c r="A5" t="s">
        <v>54</v>
      </c>
      <c r="B5">
        <v>0</v>
      </c>
      <c r="C5" s="3">
        <v>1680</v>
      </c>
      <c r="D5" s="1">
        <v>0.59799999999999998</v>
      </c>
      <c r="E5" s="3">
        <v>640</v>
      </c>
      <c r="F5" s="2">
        <v>78125</v>
      </c>
      <c r="G5" s="3">
        <v>754</v>
      </c>
      <c r="H5" s="1">
        <v>0.16900000000000001</v>
      </c>
      <c r="I5" s="1">
        <v>0.08</v>
      </c>
      <c r="J5">
        <v>35.9</v>
      </c>
      <c r="K5" s="1">
        <v>0.11799999999999999</v>
      </c>
      <c r="L5" s="1">
        <v>7.1999999999999995E-2</v>
      </c>
      <c r="M5" s="1">
        <v>0.157</v>
      </c>
      <c r="N5" s="1">
        <v>0.86299999999999999</v>
      </c>
      <c r="O5" s="1">
        <v>0.151</v>
      </c>
      <c r="P5" s="1">
        <v>0.79200000000000004</v>
      </c>
      <c r="Q5" s="1">
        <v>0.151</v>
      </c>
      <c r="R5" s="1">
        <v>0.33500000000000002</v>
      </c>
      <c r="S5" s="1">
        <v>6.6000000000000003E-2</v>
      </c>
      <c r="T5" s="1">
        <v>0.14799999999999999</v>
      </c>
      <c r="U5" s="1">
        <v>0.11899999999999999</v>
      </c>
      <c r="V5" s="1">
        <v>0.106</v>
      </c>
      <c r="W5" s="1">
        <v>0.15</v>
      </c>
      <c r="X5" s="1">
        <v>5.0999999999999997E-2</v>
      </c>
      <c r="Y5" s="1">
        <v>8.6999999999999994E-2</v>
      </c>
      <c r="Z5" s="1">
        <v>3.4000000000000002E-2</v>
      </c>
    </row>
    <row r="6" spans="1:26" x14ac:dyDescent="0.35">
      <c r="A6" t="s">
        <v>55</v>
      </c>
      <c r="B6">
        <v>2.8</v>
      </c>
      <c r="C6" s="3">
        <v>7574</v>
      </c>
      <c r="D6" s="1">
        <v>0.45100000000000001</v>
      </c>
      <c r="E6" s="3">
        <v>2022</v>
      </c>
      <c r="F6" s="2">
        <v>44830</v>
      </c>
      <c r="G6" s="3">
        <v>2266</v>
      </c>
      <c r="H6" s="1">
        <v>0.502</v>
      </c>
      <c r="I6" s="1">
        <v>0.03</v>
      </c>
      <c r="J6">
        <v>21.3</v>
      </c>
      <c r="K6" s="1">
        <v>0.10299999999999999</v>
      </c>
      <c r="L6" s="1">
        <v>2.4E-2</v>
      </c>
      <c r="M6" s="1">
        <v>0.33900000000000002</v>
      </c>
      <c r="N6" s="1">
        <v>9.4E-2</v>
      </c>
      <c r="O6" s="1">
        <v>0.107</v>
      </c>
      <c r="P6" s="1">
        <v>0.41899999999999998</v>
      </c>
      <c r="Q6" s="1">
        <v>9.9000000000000005E-2</v>
      </c>
      <c r="R6" s="1">
        <v>9.6000000000000002E-2</v>
      </c>
      <c r="S6" s="1">
        <v>4.5999999999999999E-2</v>
      </c>
      <c r="T6" s="1">
        <v>8.7999999999999995E-2</v>
      </c>
      <c r="U6" s="1">
        <v>8.6999999999999994E-2</v>
      </c>
      <c r="V6" s="1">
        <v>0.252</v>
      </c>
      <c r="W6" s="1">
        <v>5.6000000000000001E-2</v>
      </c>
      <c r="X6" s="1">
        <v>0.19800000000000001</v>
      </c>
      <c r="Y6" s="1">
        <v>1E-3</v>
      </c>
      <c r="Z6" s="1">
        <v>1E-3</v>
      </c>
    </row>
    <row r="7" spans="1:26" x14ac:dyDescent="0.35">
      <c r="A7" t="s">
        <v>56</v>
      </c>
      <c r="B7">
        <v>5.2</v>
      </c>
      <c r="C7" s="3">
        <v>15600</v>
      </c>
      <c r="D7" s="1">
        <v>0.59899999999999998</v>
      </c>
      <c r="E7" s="3">
        <v>7456</v>
      </c>
      <c r="F7" s="2">
        <v>57150</v>
      </c>
      <c r="G7" s="3">
        <v>7846</v>
      </c>
      <c r="H7" s="1">
        <v>0.219</v>
      </c>
      <c r="I7" s="1">
        <v>5.6000000000000001E-2</v>
      </c>
      <c r="J7">
        <v>43.2</v>
      </c>
      <c r="K7" s="1">
        <v>0.2</v>
      </c>
      <c r="L7" s="1">
        <v>8.5000000000000006E-2</v>
      </c>
      <c r="M7" s="1">
        <v>0.128</v>
      </c>
      <c r="N7" s="1">
        <v>0.82799999999999996</v>
      </c>
      <c r="O7" s="1">
        <v>0.04</v>
      </c>
      <c r="P7" s="1">
        <v>0.54500000000000004</v>
      </c>
      <c r="Q7" s="1">
        <v>0.187</v>
      </c>
      <c r="R7" s="1">
        <v>0.17399999999999999</v>
      </c>
      <c r="S7" s="1">
        <v>5.7000000000000002E-2</v>
      </c>
      <c r="T7" s="1">
        <v>0.13700000000000001</v>
      </c>
      <c r="U7" s="1">
        <v>0.106</v>
      </c>
      <c r="V7" s="1">
        <v>9.9000000000000005E-2</v>
      </c>
      <c r="W7" s="1">
        <v>0.14899999999999999</v>
      </c>
      <c r="X7" s="1">
        <v>6.9000000000000006E-2</v>
      </c>
      <c r="Y7" s="1">
        <v>6.4000000000000001E-2</v>
      </c>
      <c r="Z7" s="1">
        <v>3.2000000000000001E-2</v>
      </c>
    </row>
    <row r="8" spans="1:26" x14ac:dyDescent="0.35">
      <c r="A8" t="s">
        <v>57</v>
      </c>
      <c r="B8">
        <v>2.2000000000000002</v>
      </c>
      <c r="C8" s="3">
        <v>7104</v>
      </c>
      <c r="D8" s="1">
        <v>0.6</v>
      </c>
      <c r="E8" s="3">
        <v>2228</v>
      </c>
      <c r="F8" s="2">
        <v>58237</v>
      </c>
      <c r="G8" s="3">
        <v>2454</v>
      </c>
      <c r="H8" s="1">
        <v>0.33200000000000002</v>
      </c>
      <c r="I8" s="1">
        <v>4.9000000000000002E-2</v>
      </c>
      <c r="J8">
        <v>23.6</v>
      </c>
      <c r="K8" s="1">
        <v>0.104</v>
      </c>
      <c r="L8" s="1">
        <v>4.8000000000000001E-2</v>
      </c>
      <c r="M8" s="1">
        <v>0.17599999999999999</v>
      </c>
      <c r="N8" s="1">
        <v>0.129</v>
      </c>
      <c r="O8" s="1">
        <v>0.09</v>
      </c>
      <c r="P8" s="1">
        <v>0.443</v>
      </c>
      <c r="Q8" s="1">
        <v>0.11700000000000001</v>
      </c>
      <c r="R8" s="1">
        <v>8.6999999999999994E-2</v>
      </c>
      <c r="S8" s="1">
        <v>1.9E-2</v>
      </c>
      <c r="T8" s="1">
        <v>0.108</v>
      </c>
      <c r="U8" s="1">
        <v>0.13700000000000001</v>
      </c>
      <c r="V8" s="1">
        <v>0.28499999999999998</v>
      </c>
      <c r="W8" s="1">
        <v>8.3000000000000004E-2</v>
      </c>
      <c r="X8" s="1">
        <v>0.121</v>
      </c>
      <c r="Y8" s="1">
        <v>2.5999999999999999E-2</v>
      </c>
      <c r="Z8" s="1">
        <v>3.0000000000000001E-3</v>
      </c>
    </row>
    <row r="9" spans="1:26" x14ac:dyDescent="0.35">
      <c r="A9" t="s">
        <v>58</v>
      </c>
      <c r="B9">
        <v>35.799999999999997</v>
      </c>
      <c r="C9" s="3">
        <v>211328</v>
      </c>
      <c r="D9" s="1">
        <v>0.58099999999999996</v>
      </c>
      <c r="E9" s="3">
        <v>96205</v>
      </c>
      <c r="F9" s="2">
        <v>46882</v>
      </c>
      <c r="G9" s="3">
        <v>108892</v>
      </c>
      <c r="H9" s="1">
        <v>0.315</v>
      </c>
      <c r="I9" s="1">
        <v>5.7000000000000002E-2</v>
      </c>
      <c r="J9">
        <v>34.9</v>
      </c>
      <c r="K9" s="1">
        <v>0.14399999999999999</v>
      </c>
      <c r="L9" s="1">
        <v>3.7999999999999999E-2</v>
      </c>
      <c r="M9" s="1">
        <v>0.29099999999999998</v>
      </c>
      <c r="N9" s="1">
        <v>0.52400000000000002</v>
      </c>
      <c r="O9" s="1">
        <v>0.11600000000000001</v>
      </c>
      <c r="P9" s="1">
        <v>0.38900000000000001</v>
      </c>
      <c r="Q9" s="1">
        <v>0.189</v>
      </c>
      <c r="R9" s="1">
        <v>0.192</v>
      </c>
      <c r="S9" s="1">
        <v>2.8000000000000001E-2</v>
      </c>
      <c r="T9" s="1">
        <v>0.22600000000000001</v>
      </c>
      <c r="U9" s="1">
        <v>0.11700000000000001</v>
      </c>
      <c r="V9" s="1">
        <v>0.11799999999999999</v>
      </c>
      <c r="W9" s="1">
        <v>9.8000000000000004E-2</v>
      </c>
      <c r="X9" s="1">
        <v>8.4000000000000005E-2</v>
      </c>
      <c r="Y9" s="1">
        <v>3.1E-2</v>
      </c>
      <c r="Z9" s="1">
        <v>1E-3</v>
      </c>
    </row>
    <row r="12" spans="1:26" x14ac:dyDescent="0.35">
      <c r="D12" s="15" t="s">
        <v>59</v>
      </c>
      <c r="E12" s="15"/>
      <c r="F12" s="15"/>
      <c r="G12" s="15"/>
      <c r="H12" s="15"/>
    </row>
    <row r="13" spans="1:26" x14ac:dyDescent="0.35">
      <c r="D13" s="15"/>
      <c r="E13" s="15"/>
      <c r="F13" s="15"/>
      <c r="G13" s="15"/>
      <c r="H13" s="15"/>
    </row>
    <row r="14" spans="1:26" x14ac:dyDescent="0.35">
      <c r="D14" s="15"/>
      <c r="E14" s="15"/>
      <c r="F14" s="15"/>
      <c r="G14" s="15"/>
      <c r="H14" s="15"/>
    </row>
    <row r="15" spans="1:26" x14ac:dyDescent="0.35">
      <c r="D15" s="15"/>
      <c r="E15" s="15"/>
      <c r="F15" s="15"/>
      <c r="G15" s="15"/>
      <c r="H15" s="15"/>
    </row>
  </sheetData>
  <mergeCells count="1">
    <mergeCell ref="D12: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1F80B-CB8B-4294-B640-4A8D92D254E1}">
  <dimension ref="A1:AS9"/>
  <sheetViews>
    <sheetView workbookViewId="0">
      <selection activeCell="A4" sqref="A4:XFD4"/>
    </sheetView>
  </sheetViews>
  <sheetFormatPr defaultRowHeight="14.5" x14ac:dyDescent="0.35"/>
  <cols>
    <col min="1" max="1" width="11.54296875" customWidth="1"/>
    <col min="2" max="2" width="8.7265625" hidden="1" customWidth="1"/>
    <col min="3" max="5" width="0" hidden="1" customWidth="1"/>
    <col min="6" max="6" width="9.54296875" customWidth="1"/>
    <col min="7" max="7" width="0" hidden="1" customWidth="1"/>
    <col min="8" max="8" width="11.7265625" hidden="1" customWidth="1"/>
    <col min="9" max="9" width="10.26953125" hidden="1" customWidth="1"/>
    <col min="10" max="10" width="14.08984375" hidden="1" customWidth="1"/>
    <col min="11" max="11" width="0" hidden="1" customWidth="1"/>
    <col min="12" max="12" width="7.81640625" customWidth="1"/>
    <col min="13" max="17" width="0" hidden="1" customWidth="1"/>
    <col min="19" max="19" width="0" hidden="1" customWidth="1"/>
    <col min="20" max="20" width="11.1796875" style="13" hidden="1" customWidth="1"/>
    <col min="21" max="25" width="0" hidden="1" customWidth="1"/>
    <col min="27" max="30" width="0" hidden="1" customWidth="1"/>
    <col min="32" max="33" width="0" hidden="1" customWidth="1"/>
    <col min="34" max="41" width="0" style="1" hidden="1" customWidth="1"/>
    <col min="44" max="44" width="13.26953125" customWidth="1"/>
  </cols>
  <sheetData>
    <row r="1" spans="1:45" x14ac:dyDescent="0.35">
      <c r="A1" t="str" cm="1">
        <f t="array" ref="A1">Sheet1!A1:A1</f>
        <v>Urban Center</v>
      </c>
      <c r="B1" t="str" cm="1">
        <f t="array" ref="B1">Sheet1!M1:M1</f>
        <v>%Poverty</v>
      </c>
      <c r="C1" t="str" cm="1">
        <f t="array" ref="C1">Sheet1!Q1:Q1</f>
        <v>%Disabled</v>
      </c>
      <c r="D1" t="str" cm="1">
        <f t="array" ref="D1">Sheet1!I1:I1</f>
        <v>%w/o Health Ins</v>
      </c>
      <c r="E1" t="str" cm="1">
        <f t="array" ref="E1">Sheet1!P1:P1</f>
        <v>%Homeowner</v>
      </c>
      <c r="F1" t="s">
        <v>24</v>
      </c>
      <c r="H1" t="str" cm="1">
        <f t="array" ref="H1">Sheet1!G1:G1</f>
        <v>Housing Units</v>
      </c>
      <c r="I1" t="str" cm="1">
        <f t="array" ref="I1">Sheet1!E1:E1</f>
        <v>Households</v>
      </c>
      <c r="J1" t="str" cm="1">
        <f t="array" ref="J1">Sheet1!P1:P1</f>
        <v>%Homeowner</v>
      </c>
      <c r="K1" t="str" cm="1">
        <f t="array" ref="K1">Sheet1!O1:O1</f>
        <v>%Vacancy</v>
      </c>
      <c r="L1" t="s">
        <v>27</v>
      </c>
      <c r="N1" t="str" cm="1">
        <f t="array" ref="N1">Sheet1!J1:J1</f>
        <v>Median Age</v>
      </c>
      <c r="O1" t="str" cm="1">
        <f t="array" ref="O1">Sheet1!R1:R1</f>
        <v>Under 18 %</v>
      </c>
      <c r="P1" t="str" cm="1">
        <f t="array" ref="P1">Sheet1!K1:K1</f>
        <v>65 and Older %</v>
      </c>
      <c r="Q1" t="str" cm="1">
        <f t="array" ref="Q1">Sheet1!L1:L1</f>
        <v>Veterans %</v>
      </c>
      <c r="R1" t="s">
        <v>28</v>
      </c>
      <c r="T1" s="13" t="str" cm="1">
        <f t="array" ref="T1">Sheet1!F1:F1</f>
        <v>Median Household Income $</v>
      </c>
      <c r="U1" t="str" cm="1">
        <f t="array" ref="U1:U9">Sheet1!D1:D9</f>
        <v>Employment %</v>
      </c>
      <c r="V1" t="str" cm="1">
        <f t="array" ref="V1">Sheet1!M1:M1</f>
        <v>%Poverty</v>
      </c>
      <c r="W1" s="1" t="s">
        <v>29</v>
      </c>
      <c r="X1" s="1" t="s">
        <v>30</v>
      </c>
      <c r="Y1" s="1" t="s">
        <v>31</v>
      </c>
      <c r="Z1" s="1" t="s">
        <v>32</v>
      </c>
      <c r="AB1" t="str" cm="1">
        <f t="array" ref="AB1">Sheet1!H1:H1</f>
        <v>Bachelors Degree %</v>
      </c>
      <c r="AC1" t="str" cm="1">
        <f t="array" ref="AC1">Sheet1!N1:N1</f>
        <v>School Enrolled %</v>
      </c>
      <c r="AD1" t="str" cm="1">
        <f t="array" ref="AD1">Sheet1!I1:I1</f>
        <v>%w/o Health Ins</v>
      </c>
      <c r="AE1" t="s">
        <v>33</v>
      </c>
      <c r="AF1" t="str" cm="1">
        <f t="array" ref="AF1">Sheet1!C1:C1</f>
        <v>Population</v>
      </c>
      <c r="AG1" t="str" cm="1">
        <f t="array" ref="AG1">Sheet1!D1:D1</f>
        <v>Employment %</v>
      </c>
      <c r="AH1" s="1" t="str" cm="1">
        <f t="array" ref="AH1">Sheet1!S1:S1</f>
        <v>Government Employed %</v>
      </c>
      <c r="AI1" s="1" t="str" cm="1">
        <f t="array" ref="AI1">Sheet1!T1:T1</f>
        <v>Healthcare Employed %</v>
      </c>
      <c r="AJ1" s="1" t="str" cm="1">
        <f t="array" ref="AJ1">Sheet1!U1:U1</f>
        <v>Retail Employed %</v>
      </c>
      <c r="AK1" s="1" t="str" cm="1">
        <f t="array" ref="AK1">Sheet1!V1:V1</f>
        <v>Education Employed %</v>
      </c>
      <c r="AL1" s="1" t="str" cm="1">
        <f t="array" ref="AL1">Sheet1!W1:W1</f>
        <v>Manufacturing Employed %</v>
      </c>
      <c r="AM1" s="1" t="str" cm="1">
        <f t="array" ref="AM1">Sheet1!X1:X1</f>
        <v>Hospitality Employed %</v>
      </c>
      <c r="AN1" s="1" t="str" cm="1">
        <f t="array" ref="AN1">Sheet1!Y1:Y1</f>
        <v>Construction Employed %</v>
      </c>
      <c r="AO1" s="1" t="str" cm="1">
        <f t="array" ref="AO1">Sheet1!Z1:Z1</f>
        <v>Agriculture Employed %</v>
      </c>
      <c r="AP1" t="s">
        <v>34</v>
      </c>
      <c r="AR1" t="s">
        <v>35</v>
      </c>
      <c r="AS1" t="s">
        <v>36</v>
      </c>
    </row>
    <row r="2" spans="1:45" x14ac:dyDescent="0.35">
      <c r="A2" t="str" cm="1">
        <f t="array" ref="A2:A9">Sheet1!A2:A9</f>
        <v>Canandaigua</v>
      </c>
      <c r="B2" cm="1">
        <f t="array" ref="B2:B9">Sheet1!M2:M9*100</f>
        <v>9.4</v>
      </c>
      <c r="C2" cm="1">
        <f t="array" ref="C2:C9">Sheet1!Q2:Q9*100</f>
        <v>20.100000000000001</v>
      </c>
      <c r="D2" cm="1">
        <f t="array" ref="D2:D9">Sheet1!I2:I9*100</f>
        <v>4.3</v>
      </c>
      <c r="E2" s="4" cm="1">
        <f t="array" ref="E2:E9">Sheet1!P2:P9*100</f>
        <v>48.5</v>
      </c>
      <c r="F2">
        <f>ROUND(((100-B2)*0.4+(100-C2)*0.3+(100-D2)*0.2+E2*0.1),0)</f>
        <v>84</v>
      </c>
      <c r="H2" s="3" cm="1">
        <f t="array" ref="H2:H9">Sheet1!G2:G9</f>
        <v>5433</v>
      </c>
      <c r="I2" s="3" cm="1">
        <f t="array" ref="I2:I9">Sheet1!E2:E9</f>
        <v>5019</v>
      </c>
      <c r="J2" s="3" cm="1">
        <f t="array" ref="J2:J9">Sheet1!P2:P9*100</f>
        <v>48.5</v>
      </c>
      <c r="K2" cm="1">
        <f t="array" ref="K2:K9">Sheet1!O2:O9*100</f>
        <v>7.6</v>
      </c>
      <c r="L2" s="11">
        <f>( MIN(1,MAX(0,((H2/I2)-0.8)/(1.2-0.8)))*100*0.4 + J2*0.45 + K2*0.15)</f>
        <v>51.213655110579793</v>
      </c>
      <c r="N2" cm="1">
        <f t="array" ref="N2:N9">Sheet1!J2:J9</f>
        <v>41.4</v>
      </c>
      <c r="O2" cm="1">
        <f t="array" ref="O2:O9">Sheet1!R2:R9*100</f>
        <v>15.9</v>
      </c>
      <c r="P2" cm="1">
        <f t="array" ref="P2:P9">Sheet1!K2:K9*100</f>
        <v>23.200000000000003</v>
      </c>
      <c r="Q2" cm="1">
        <f t="array" ref="Q2:Q9">Sheet1!L2:L9*100</f>
        <v>7.9</v>
      </c>
      <c r="R2" s="12">
        <f>( MAX(0,100 - ABS(N2-35)/20*100) + MAX(0,100 - ABS(O2-P2)/50*100) + MIN(Q2/20*100,100) )/3</f>
        <v>64.3</v>
      </c>
      <c r="T2" s="13" cm="1">
        <f t="array" ref="T2:T9">Sheet1!F2:F9</f>
        <v>63268</v>
      </c>
      <c r="U2" s="8">
        <v>0.59699999999999998</v>
      </c>
      <c r="V2" s="9" cm="1">
        <f t="array" ref="V2:V9">Sheet1!M2:M9</f>
        <v>9.4E-2</v>
      </c>
      <c r="W2" s="14">
        <f xml:space="preserve"> (_xlfn.RANK.EQ(T2,$T$2:$T$9,0)-1) / (COUNTA($T$2:$T$9)-1) * 100</f>
        <v>28.571428571428569</v>
      </c>
      <c r="X2">
        <f xml:space="preserve"> (_xlfn.RANK.EQ(U2,$U$2:$U$9,0)-1) / (COUNTA($U$2:$U$101)-1) * 100</f>
        <v>42.857142857142854</v>
      </c>
      <c r="Y2">
        <f xml:space="preserve"> (_xlfn.RANK.EQ(V2,$V$2:$V$9,1)-1) / (COUNTA($V$2:$V$9)-1) * 100</f>
        <v>0</v>
      </c>
      <c r="Z2" s="10">
        <f>(0.4*W2)+(0.4*X2)+(0.2*Y2)</f>
        <v>28.571428571428569</v>
      </c>
      <c r="AB2" cm="1">
        <f t="array" ref="AB2:AB9">Sheet1!H2:H9*100</f>
        <v>39.1</v>
      </c>
      <c r="AC2" cm="1">
        <f t="array" ref="AC2:AC9">Sheet1!N2:N9*100</f>
        <v>62.6</v>
      </c>
      <c r="AD2" cm="1">
        <f t="array" ref="AD2:AD9">Sheet1!I2:I9*100</f>
        <v>4.3</v>
      </c>
      <c r="AE2" s="12">
        <f xml:space="preserve"> ( (_xlfn.RANK.EQ(AB2,$AB$2:$AB$9,0)-1)/(COUNTA($AB$2:$AB$9)-1)*100+(_xlfn.RANK.EQ(AC2,$AC$2:$AC$9,0)-1)/(COUNTA($AC$2:$AC$9)-1)*100+(_xlfn.RANK.EQ(AD2,$AD$2:$AD$9,1)-1)/(COUNTA($AD$2:$AD$9)-1)*100) / 3</f>
        <v>33.333333333333336</v>
      </c>
      <c r="AF2" s="3" cm="1">
        <f t="array" ref="AF2:AF9">Sheet1!C2:C9</f>
        <v>10576</v>
      </c>
      <c r="AG2" cm="1">
        <f t="array" ref="AG2:AG9">Sheet1!D2:D9</f>
        <v>0.59699999999999998</v>
      </c>
      <c r="AH2" s="1" cm="1">
        <f t="array" ref="AH2:AH9">Sheet1!S2:S9</f>
        <v>5.0999999999999997E-2</v>
      </c>
      <c r="AI2" s="1" cm="1">
        <f t="array" ref="AI2:AI9">Sheet1!T2:T9</f>
        <v>0.20899999999999999</v>
      </c>
      <c r="AJ2" s="1" cm="1">
        <f t="array" ref="AJ2:AJ9">Sheet1!U2:U9</f>
        <v>0.122</v>
      </c>
      <c r="AK2" s="1" cm="1">
        <f t="array" ref="AK2:AK9">Sheet1!V2:V9</f>
        <v>0.127</v>
      </c>
      <c r="AL2" s="1" cm="1">
        <f t="array" ref="AL2:AL9">Sheet1!W2:W9</f>
        <v>8.5999999999999993E-2</v>
      </c>
      <c r="AM2" s="1" cm="1">
        <f t="array" ref="AM2:AM9">Sheet1!X2:X9</f>
        <v>0.11600000000000001</v>
      </c>
      <c r="AN2" s="1" cm="1">
        <f t="array" ref="AN2:AN9">Sheet1!Y2:Y9</f>
        <v>5.2999999999999999E-2</v>
      </c>
      <c r="AO2" s="1" cm="1">
        <f t="array" ref="AO2:AO9">Sheet1!Z2:Z9</f>
        <v>5.0000000000000001E-3</v>
      </c>
      <c r="AP2" s="11" cm="1">
        <f t="array" ref="AP2">_xlfn.LET( _xlpm.popRange,$AF$2:$AF$9, _xlpm.empRateRange,$AG$2:$AG$9, _xlpm.sectorRange,AH2:AO2,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AG2/100, _xlpm.empRate_vec, _xlpm.empRateRange/100, _xlpm.empRate_norm, IF(MAX(_xlpm.empRate_vec)-MIN(_xlpm.empRate_vec)&gt;0, (_xlpm.empRate_cur - MIN(_xlpm.empRate_vec)) / (MAX(_xlpm.empRate_vec)-MIN(_xlpm.empRate_vec)), 0), _xlpm.empPop_cur, AF2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84.1</v>
      </c>
      <c r="AR2" s="10">
        <f>F2+L2+R2+Z2+AE2+AP2</f>
        <v>345.5184170153417</v>
      </c>
      <c r="AS2" s="10">
        <f>_xlfn.RANK.EQ(AR2,$AR$2:$AR$9,1)</f>
        <v>1</v>
      </c>
    </row>
    <row r="3" spans="1:45" x14ac:dyDescent="0.35">
      <c r="A3" t="str">
        <v>Geneva</v>
      </c>
      <c r="B3">
        <v>18.3</v>
      </c>
      <c r="C3">
        <v>15.2</v>
      </c>
      <c r="D3">
        <v>4</v>
      </c>
      <c r="E3">
        <v>49.2</v>
      </c>
      <c r="F3">
        <f t="shared" ref="F3:F9" si="0">ROUND(((100-B3)*0.4+(100-C3)*0.3+(100-D3)*0.2+E3*0.1),0)</f>
        <v>82</v>
      </c>
      <c r="H3">
        <v>5463</v>
      </c>
      <c r="I3">
        <v>4878</v>
      </c>
      <c r="J3">
        <v>49.2</v>
      </c>
      <c r="K3">
        <v>10.199999999999999</v>
      </c>
      <c r="L3" s="11">
        <f t="shared" ref="L3:L9" si="1">( MIN(1,MAX(0,((H3/I3)-0.8)/(1.2-0.8)))*100*0.4 + J3*0.45 + K3*0.15)</f>
        <v>55.66261992619927</v>
      </c>
      <c r="N3">
        <v>33.299999999999997</v>
      </c>
      <c r="O3">
        <v>16.7</v>
      </c>
      <c r="P3">
        <v>14.7</v>
      </c>
      <c r="Q3">
        <v>3.6999999999999997</v>
      </c>
      <c r="R3" s="12">
        <f t="shared" ref="R3:R9" si="2">( MAX(0,100 - ABS(N3-35)/20*100) + MAX(0,100 - ABS(O3-P3)/50*100) + MIN(Q3/20*100,100) )/3</f>
        <v>68.666666666666671</v>
      </c>
      <c r="T3" s="13">
        <v>68242</v>
      </c>
      <c r="U3" s="8">
        <v>0.57699999999999996</v>
      </c>
      <c r="V3">
        <v>0.183</v>
      </c>
      <c r="W3" s="14">
        <f t="shared" ref="W3:W9" si="3" xml:space="preserve"> (_xlfn.RANK.EQ(T3,$T$2:$T$9,0)-1) / (COUNTA($T$2:$T$9)-1) * 100</f>
        <v>14.285714285714285</v>
      </c>
      <c r="X3">
        <f t="shared" ref="X3:X9" si="4" xml:space="preserve"> (_xlfn.RANK.EQ(U3,$U$2:$U$9,0)-1) / (COUNTA($U$2:$U$101)-1) * 100</f>
        <v>71.428571428571431</v>
      </c>
      <c r="Y3">
        <f t="shared" ref="Y3:Y9" si="5" xml:space="preserve"> (_xlfn.RANK.EQ(V3,$V$2:$V$9,1)-1) / (COUNTA($V$2:$V$9)-1) * 100</f>
        <v>71.428571428571431</v>
      </c>
      <c r="Z3" s="10">
        <f t="shared" ref="Z3:Z9" si="6">(0.4*W3)+(0.4*X3)+(0.2*Y3)</f>
        <v>48.571428571428569</v>
      </c>
      <c r="AB3">
        <v>34.1</v>
      </c>
      <c r="AC3">
        <v>28.999999999999996</v>
      </c>
      <c r="AD3">
        <v>4</v>
      </c>
      <c r="AE3" s="12">
        <f t="shared" ref="AE3:AE9" si="7" xml:space="preserve"> ( (_xlfn.RANK.EQ(AB3,$AB$2:$AB$9,0)-1)/(COUNTA($AB$2:$AB$9)-1)*100+(_xlfn.RANK.EQ(AC3,$AC$2:$AC$9,0)-1)/(COUNTA($AC$2:$AC$9)-1)*100+(_xlfn.RANK.EQ(AD3,$AD$2:$AD$9,1)-1)/(COUNTA($AD$2:$AD$9)-1)*100) / 3</f>
        <v>38.095238095238095</v>
      </c>
      <c r="AF3">
        <v>12812</v>
      </c>
      <c r="AG3">
        <v>0.57699999999999996</v>
      </c>
      <c r="AH3" s="1">
        <v>4.3999999999999997E-2</v>
      </c>
      <c r="AI3" s="1">
        <v>0.152</v>
      </c>
      <c r="AJ3" s="1">
        <v>0.13700000000000001</v>
      </c>
      <c r="AK3" s="1">
        <v>0.224</v>
      </c>
      <c r="AL3" s="1">
        <v>9.9000000000000005E-2</v>
      </c>
      <c r="AM3" s="1">
        <v>0.128</v>
      </c>
      <c r="AN3" s="1">
        <v>2.1000000000000001E-2</v>
      </c>
      <c r="AO3" s="1">
        <v>2.3E-2</v>
      </c>
      <c r="AP3" s="11" cm="1">
        <f t="array" ref="AP3">_xlfn.LET( _xlpm.popRange,$AF$2:$AF$9, _xlpm.empRateRange,$AG$2:$AG$9, _xlpm.sectorRange,AH3:AO3,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AG3/100, _xlpm.empRate_vec, _xlpm.empRateRange/100, _xlpm.empRate_norm, IF(MAX(_xlpm.empRate_vec)-MIN(_xlpm.empRate_vec)&gt;0, (_xlpm.empRate_cur - MIN(_xlpm.empRate_vec)) / (MAX(_xlpm.empRate_vec)-MIN(_xlpm.empRate_vec)), 0), _xlpm.empPop_cur, AF3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80.7</v>
      </c>
      <c r="AR3" s="10">
        <f t="shared" ref="AR3:AR9" si="8">F3+L3+R3+Z3+AE3+AP3</f>
        <v>373.69595325953259</v>
      </c>
      <c r="AS3" s="10">
        <f t="shared" ref="AS3:AS9" si="9">_xlfn.RANK.EQ(AR3,$AR$2:$AR$9,1)</f>
        <v>4</v>
      </c>
    </row>
    <row r="4" spans="1:45" x14ac:dyDescent="0.35">
      <c r="A4" t="str">
        <v>Dansville</v>
      </c>
      <c r="B4">
        <v>10.4</v>
      </c>
      <c r="C4">
        <v>19.3</v>
      </c>
      <c r="D4">
        <v>4.2</v>
      </c>
      <c r="E4">
        <v>76.8</v>
      </c>
      <c r="F4">
        <f t="shared" si="0"/>
        <v>87</v>
      </c>
      <c r="H4">
        <v>2364</v>
      </c>
      <c r="I4">
        <v>2206</v>
      </c>
      <c r="J4">
        <v>76.8</v>
      </c>
      <c r="K4">
        <v>6.6000000000000005</v>
      </c>
      <c r="L4" s="11">
        <f t="shared" si="1"/>
        <v>62.712284678150503</v>
      </c>
      <c r="N4">
        <v>44.7</v>
      </c>
      <c r="O4">
        <v>17.8</v>
      </c>
      <c r="P4">
        <v>20.5</v>
      </c>
      <c r="Q4">
        <v>7.1</v>
      </c>
      <c r="R4" s="12">
        <f t="shared" si="2"/>
        <v>60.533333333333324</v>
      </c>
      <c r="T4" s="13">
        <v>57500</v>
      </c>
      <c r="U4" s="8">
        <v>0.54700000000000004</v>
      </c>
      <c r="V4">
        <v>0.104</v>
      </c>
      <c r="W4" s="14">
        <f t="shared" si="3"/>
        <v>57.142857142857139</v>
      </c>
      <c r="X4">
        <f t="shared" si="4"/>
        <v>85.714285714285708</v>
      </c>
      <c r="Y4">
        <f t="shared" si="5"/>
        <v>14.285714285714285</v>
      </c>
      <c r="Z4" s="10">
        <f t="shared" si="6"/>
        <v>59.999999999999993</v>
      </c>
      <c r="AB4">
        <v>19.100000000000001</v>
      </c>
      <c r="AC4">
        <v>92.9</v>
      </c>
      <c r="AD4">
        <v>4.2</v>
      </c>
      <c r="AE4" s="12">
        <f t="shared" si="7"/>
        <v>38.095238095238095</v>
      </c>
      <c r="AF4">
        <v>4433</v>
      </c>
      <c r="AG4">
        <v>0.54700000000000004</v>
      </c>
      <c r="AH4" s="1">
        <v>5.8000000000000003E-2</v>
      </c>
      <c r="AI4" s="1">
        <v>0.16700000000000001</v>
      </c>
      <c r="AJ4" s="1">
        <v>9.4E-2</v>
      </c>
      <c r="AK4" s="1">
        <v>0.11600000000000001</v>
      </c>
      <c r="AL4" s="1">
        <v>0.113</v>
      </c>
      <c r="AM4" s="1">
        <v>5.0999999999999997E-2</v>
      </c>
      <c r="AN4" s="1">
        <v>0.111</v>
      </c>
      <c r="AO4" s="1">
        <v>4.9000000000000002E-2</v>
      </c>
      <c r="AP4" s="11" cm="1">
        <f t="array" ref="AP4">_xlfn.LET( _xlpm.popRange,$AF$2:$AF$9, _xlpm.empRateRange,$AG$2:$AG$9, _xlpm.sectorRange,AH4:AO4,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AG4/100, _xlpm.empRate_vec, _xlpm.empRateRange/100, _xlpm.empRate_norm, IF(MAX(_xlpm.empRate_vec)-MIN(_xlpm.empRate_vec)&gt;0, (_xlpm.empRate_cur - MIN(_xlpm.empRate_vec)) / (MAX(_xlpm.empRate_vec)-MIN(_xlpm.empRate_vec)), 0), _xlpm.empPop_cur, AF4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76.400000000000006</v>
      </c>
      <c r="AR4" s="10">
        <f t="shared" si="8"/>
        <v>384.74085610672194</v>
      </c>
      <c r="AS4" s="10">
        <f t="shared" si="9"/>
        <v>5</v>
      </c>
    </row>
    <row r="5" spans="1:45" x14ac:dyDescent="0.35">
      <c r="A5" t="str">
        <v>Wayland</v>
      </c>
      <c r="B5">
        <v>15.7</v>
      </c>
      <c r="C5">
        <v>15.1</v>
      </c>
      <c r="D5">
        <v>8</v>
      </c>
      <c r="E5">
        <v>79.2</v>
      </c>
      <c r="F5">
        <f t="shared" si="0"/>
        <v>86</v>
      </c>
      <c r="H5">
        <v>754</v>
      </c>
      <c r="I5">
        <v>640</v>
      </c>
      <c r="J5">
        <v>79.2</v>
      </c>
      <c r="K5">
        <v>15.1</v>
      </c>
      <c r="L5" s="11">
        <f t="shared" si="1"/>
        <v>75.717500000000015</v>
      </c>
      <c r="N5">
        <v>35.9</v>
      </c>
      <c r="O5">
        <v>33.5</v>
      </c>
      <c r="P5">
        <v>11.799999999999999</v>
      </c>
      <c r="Q5">
        <v>7.1999999999999993</v>
      </c>
      <c r="R5" s="12">
        <f t="shared" si="2"/>
        <v>62.699999999999996</v>
      </c>
      <c r="T5" s="13">
        <v>78125</v>
      </c>
      <c r="U5" s="8">
        <v>0.59799999999999998</v>
      </c>
      <c r="V5">
        <v>0.157</v>
      </c>
      <c r="W5" s="14">
        <f t="shared" si="3"/>
        <v>0</v>
      </c>
      <c r="X5">
        <f t="shared" si="4"/>
        <v>28.571428571428569</v>
      </c>
      <c r="Y5">
        <f t="shared" si="5"/>
        <v>42.857142857142854</v>
      </c>
      <c r="Z5" s="10">
        <f t="shared" si="6"/>
        <v>20</v>
      </c>
      <c r="AB5">
        <v>16.900000000000002</v>
      </c>
      <c r="AC5">
        <v>86.3</v>
      </c>
      <c r="AD5">
        <v>8</v>
      </c>
      <c r="AE5" s="12">
        <f t="shared" si="7"/>
        <v>71.428571428571431</v>
      </c>
      <c r="AF5">
        <v>1680</v>
      </c>
      <c r="AG5">
        <v>0.59799999999999998</v>
      </c>
      <c r="AH5" s="1">
        <v>6.6000000000000003E-2</v>
      </c>
      <c r="AI5" s="1">
        <v>0.14799999999999999</v>
      </c>
      <c r="AJ5" s="1">
        <v>0.11899999999999999</v>
      </c>
      <c r="AK5" s="1">
        <v>0.106</v>
      </c>
      <c r="AL5" s="1">
        <v>0.15</v>
      </c>
      <c r="AM5" s="1">
        <v>5.0999999999999997E-2</v>
      </c>
      <c r="AN5" s="1">
        <v>8.6999999999999994E-2</v>
      </c>
      <c r="AO5" s="1">
        <v>3.4000000000000002E-2</v>
      </c>
      <c r="AP5" s="11" cm="1">
        <f t="array" ref="AP5">_xlfn.LET( _xlpm.popRange,$AF$2:$AF$9, _xlpm.empRateRange,$AG$2:$AG$9, _xlpm.sectorRange,AH5:AO5,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AG5/100, _xlpm.empRate_vec, _xlpm.empRateRange/100, _xlpm.empRate_norm, IF(MAX(_xlpm.empRate_vec)-MIN(_xlpm.empRate_vec)&gt;0, (_xlpm.empRate_cur - MIN(_xlpm.empRate_vec)) / (MAX(_xlpm.empRate_vec)-MIN(_xlpm.empRate_vec)), 0), _xlpm.empPop_cur, AF5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81.900000000000006</v>
      </c>
      <c r="AR5" s="10">
        <f t="shared" si="8"/>
        <v>397.74607142857144</v>
      </c>
      <c r="AS5" s="10">
        <f t="shared" si="9"/>
        <v>7</v>
      </c>
    </row>
    <row r="6" spans="1:45" x14ac:dyDescent="0.35">
      <c r="A6" t="str">
        <v>Geneseo</v>
      </c>
      <c r="B6">
        <v>33.900000000000006</v>
      </c>
      <c r="C6">
        <v>9.9</v>
      </c>
      <c r="D6">
        <v>3</v>
      </c>
      <c r="E6">
        <v>41.9</v>
      </c>
      <c r="F6">
        <f t="shared" si="0"/>
        <v>77</v>
      </c>
      <c r="H6">
        <v>2266</v>
      </c>
      <c r="I6">
        <v>2022</v>
      </c>
      <c r="J6">
        <v>41.9</v>
      </c>
      <c r="K6">
        <v>10.7</v>
      </c>
      <c r="L6" s="11">
        <f t="shared" si="1"/>
        <v>52.52726013847677</v>
      </c>
      <c r="N6">
        <v>21.3</v>
      </c>
      <c r="O6">
        <v>9.6</v>
      </c>
      <c r="P6">
        <v>10.299999999999999</v>
      </c>
      <c r="Q6">
        <v>2.4</v>
      </c>
      <c r="R6" s="12">
        <f t="shared" si="2"/>
        <v>47.366666666666667</v>
      </c>
      <c r="T6" s="13">
        <v>44830</v>
      </c>
      <c r="U6" s="8">
        <v>0.45100000000000001</v>
      </c>
      <c r="V6">
        <v>0.33900000000000002</v>
      </c>
      <c r="W6" s="14">
        <f t="shared" si="3"/>
        <v>100</v>
      </c>
      <c r="X6">
        <f t="shared" si="4"/>
        <v>100</v>
      </c>
      <c r="Y6">
        <f t="shared" si="5"/>
        <v>100</v>
      </c>
      <c r="Z6" s="10">
        <f t="shared" si="6"/>
        <v>100</v>
      </c>
      <c r="AB6">
        <v>50.2</v>
      </c>
      <c r="AC6">
        <v>9.4</v>
      </c>
      <c r="AD6">
        <v>3</v>
      </c>
      <c r="AE6" s="12">
        <f t="shared" si="7"/>
        <v>33.333333333333336</v>
      </c>
      <c r="AF6">
        <v>7574</v>
      </c>
      <c r="AG6">
        <v>0.45100000000000001</v>
      </c>
      <c r="AH6" s="1">
        <v>4.5999999999999999E-2</v>
      </c>
      <c r="AI6" s="1">
        <v>8.7999999999999995E-2</v>
      </c>
      <c r="AJ6" s="1">
        <v>8.6999999999999994E-2</v>
      </c>
      <c r="AK6" s="1">
        <v>0.252</v>
      </c>
      <c r="AL6" s="1">
        <v>5.6000000000000001E-2</v>
      </c>
      <c r="AM6" s="1">
        <v>0.19800000000000001</v>
      </c>
      <c r="AN6" s="1">
        <v>1E-3</v>
      </c>
      <c r="AO6" s="1">
        <v>1E-3</v>
      </c>
      <c r="AP6" s="11" cm="1">
        <f t="array" ref="AP6">_xlfn.LET( _xlpm.popRange,$AF$2:$AF$9, _xlpm.empRateRange,$AG$2:$AG$9, _xlpm.sectorRange,AH6:AO6,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AG6/100, _xlpm.empRate_vec, _xlpm.empRateRange/100, _xlpm.empRate_norm, IF(MAX(_xlpm.empRate_vec)-MIN(_xlpm.empRate_vec)&gt;0, (_xlpm.empRate_cur - MIN(_xlpm.empRate_vec)) / (MAX(_xlpm.empRate_vec)-MIN(_xlpm.empRate_vec)), 0), _xlpm.empPop_cur, AF6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50.4</v>
      </c>
      <c r="AR6" s="10">
        <f t="shared" si="8"/>
        <v>360.62726013847674</v>
      </c>
      <c r="AS6" s="10">
        <f t="shared" si="9"/>
        <v>3</v>
      </c>
    </row>
    <row r="7" spans="1:45" x14ac:dyDescent="0.35">
      <c r="A7" t="str">
        <v>Batavia</v>
      </c>
      <c r="B7">
        <v>12.8</v>
      </c>
      <c r="C7">
        <v>18.7</v>
      </c>
      <c r="D7">
        <v>5.6000000000000005</v>
      </c>
      <c r="E7">
        <v>54.500000000000007</v>
      </c>
      <c r="F7">
        <f t="shared" si="0"/>
        <v>84</v>
      </c>
      <c r="H7">
        <v>7846</v>
      </c>
      <c r="I7">
        <v>7456</v>
      </c>
      <c r="J7">
        <v>54.500000000000007</v>
      </c>
      <c r="K7">
        <v>4</v>
      </c>
      <c r="L7" s="11">
        <f t="shared" si="1"/>
        <v>50.355686695278983</v>
      </c>
      <c r="N7">
        <v>43.2</v>
      </c>
      <c r="O7">
        <v>17.399999999999999</v>
      </c>
      <c r="P7">
        <v>20</v>
      </c>
      <c r="Q7">
        <v>8.5</v>
      </c>
      <c r="R7" s="12">
        <f t="shared" si="2"/>
        <v>65.433333333333323</v>
      </c>
      <c r="T7" s="13">
        <v>57150</v>
      </c>
      <c r="U7" s="8">
        <v>0.59899999999999998</v>
      </c>
      <c r="V7">
        <v>0.128</v>
      </c>
      <c r="W7" s="14">
        <f t="shared" si="3"/>
        <v>71.428571428571431</v>
      </c>
      <c r="X7">
        <f t="shared" si="4"/>
        <v>14.285714285714285</v>
      </c>
      <c r="Y7">
        <f t="shared" si="5"/>
        <v>28.571428571428569</v>
      </c>
      <c r="Z7" s="10">
        <f t="shared" si="6"/>
        <v>40</v>
      </c>
      <c r="AB7">
        <v>21.9</v>
      </c>
      <c r="AC7">
        <v>82.8</v>
      </c>
      <c r="AD7">
        <v>5.6000000000000005</v>
      </c>
      <c r="AE7" s="12">
        <f t="shared" si="7"/>
        <v>57.142857142857146</v>
      </c>
      <c r="AF7">
        <v>15600</v>
      </c>
      <c r="AG7">
        <v>0.59899999999999998</v>
      </c>
      <c r="AH7" s="1">
        <v>5.7000000000000002E-2</v>
      </c>
      <c r="AI7" s="1">
        <v>0.13700000000000001</v>
      </c>
      <c r="AJ7" s="1">
        <v>0.106</v>
      </c>
      <c r="AK7" s="1">
        <v>9.9000000000000005E-2</v>
      </c>
      <c r="AL7" s="1">
        <v>0.14899999999999999</v>
      </c>
      <c r="AM7" s="1">
        <v>6.9000000000000006E-2</v>
      </c>
      <c r="AN7" s="1">
        <v>6.4000000000000001E-2</v>
      </c>
      <c r="AO7" s="1">
        <v>3.2000000000000001E-2</v>
      </c>
      <c r="AP7" s="11" cm="1">
        <f t="array" ref="AP7">_xlfn.LET( _xlpm.popRange,$AF$2:$AF$9, _xlpm.empRateRange,$AG$2:$AG$9, _xlpm.sectorRange,AH7:AO7,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AG7/100, _xlpm.empRate_vec, _xlpm.empRateRange/100, _xlpm.empRate_norm, IF(MAX(_xlpm.empRate_vec)-MIN(_xlpm.empRate_vec)&gt;0, (_xlpm.empRate_cur - MIN(_xlpm.empRate_vec)) / (MAX(_xlpm.empRate_vec)-MIN(_xlpm.empRate_vec)), 0), _xlpm.empPop_cur, AF7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88.9</v>
      </c>
      <c r="AR7" s="10">
        <f t="shared" si="8"/>
        <v>385.8318771714695</v>
      </c>
      <c r="AS7" s="10">
        <f t="shared" si="9"/>
        <v>6</v>
      </c>
    </row>
    <row r="8" spans="1:45" x14ac:dyDescent="0.35">
      <c r="A8" t="str">
        <v>Brockport</v>
      </c>
      <c r="B8">
        <v>17.599999999999998</v>
      </c>
      <c r="C8">
        <v>11.700000000000001</v>
      </c>
      <c r="D8">
        <v>4.9000000000000004</v>
      </c>
      <c r="E8">
        <v>44.3</v>
      </c>
      <c r="F8">
        <f t="shared" si="0"/>
        <v>83</v>
      </c>
      <c r="H8">
        <v>2454</v>
      </c>
      <c r="I8">
        <v>2228</v>
      </c>
      <c r="J8">
        <v>44.3</v>
      </c>
      <c r="K8">
        <v>9</v>
      </c>
      <c r="L8" s="11">
        <f t="shared" si="1"/>
        <v>51.428626570915618</v>
      </c>
      <c r="N8">
        <v>23.6</v>
      </c>
      <c r="O8">
        <v>8.6999999999999993</v>
      </c>
      <c r="P8">
        <v>10.4</v>
      </c>
      <c r="Q8">
        <v>4.8</v>
      </c>
      <c r="R8" s="12">
        <f t="shared" si="2"/>
        <v>54.533333333333331</v>
      </c>
      <c r="T8" s="13">
        <v>58237</v>
      </c>
      <c r="U8" s="8">
        <v>0.6</v>
      </c>
      <c r="V8">
        <v>0.17599999999999999</v>
      </c>
      <c r="W8" s="14">
        <f t="shared" si="3"/>
        <v>42.857142857142854</v>
      </c>
      <c r="X8">
        <f t="shared" si="4"/>
        <v>0</v>
      </c>
      <c r="Y8">
        <f t="shared" si="5"/>
        <v>57.142857142857139</v>
      </c>
      <c r="Z8" s="10">
        <f t="shared" si="6"/>
        <v>28.571428571428569</v>
      </c>
      <c r="AB8">
        <v>33.200000000000003</v>
      </c>
      <c r="AC8">
        <v>12.9</v>
      </c>
      <c r="AD8">
        <v>4.9000000000000004</v>
      </c>
      <c r="AE8" s="12">
        <f t="shared" si="7"/>
        <v>61.904761904761898</v>
      </c>
      <c r="AF8">
        <v>7104</v>
      </c>
      <c r="AG8">
        <v>0.6</v>
      </c>
      <c r="AH8" s="1">
        <v>1.9E-2</v>
      </c>
      <c r="AI8" s="1">
        <v>0.108</v>
      </c>
      <c r="AJ8" s="1">
        <v>0.13700000000000001</v>
      </c>
      <c r="AK8" s="1">
        <v>0.28499999999999998</v>
      </c>
      <c r="AL8" s="1">
        <v>8.3000000000000004E-2</v>
      </c>
      <c r="AM8" s="1">
        <v>0.121</v>
      </c>
      <c r="AN8" s="1">
        <v>2.5999999999999999E-2</v>
      </c>
      <c r="AO8" s="1">
        <v>3.0000000000000001E-3</v>
      </c>
      <c r="AP8" s="11" cm="1">
        <f t="array" ref="AP8">_xlfn.LET( _xlpm.popRange,$AF$2:$AF$9, _xlpm.empRateRange,$AG$2:$AG$9, _xlpm.sectorRange,AH8:AO8,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AG8/100, _xlpm.empRate_vec, _xlpm.empRateRange/100, _xlpm.empRate_norm, IF(MAX(_xlpm.empRate_vec)-MIN(_xlpm.empRate_vec)&gt;0, (_xlpm.empRate_cur - MIN(_xlpm.empRate_vec)) / (MAX(_xlpm.empRate_vec)-MIN(_xlpm.empRate_vec)), 0), _xlpm.empPop_cur, AF8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78.400000000000006</v>
      </c>
      <c r="AR8" s="10">
        <f t="shared" si="8"/>
        <v>357.8381503804394</v>
      </c>
      <c r="AS8" s="10">
        <f t="shared" si="9"/>
        <v>2</v>
      </c>
    </row>
    <row r="9" spans="1:45" x14ac:dyDescent="0.35">
      <c r="A9" t="str">
        <v>Rochester</v>
      </c>
      <c r="B9">
        <v>29.099999999999998</v>
      </c>
      <c r="C9">
        <v>18.899999999999999</v>
      </c>
      <c r="D9">
        <v>5.7</v>
      </c>
      <c r="E9">
        <v>38.9</v>
      </c>
      <c r="F9">
        <f t="shared" si="0"/>
        <v>75</v>
      </c>
      <c r="H9">
        <v>108892</v>
      </c>
      <c r="I9">
        <v>96205</v>
      </c>
      <c r="J9">
        <v>38.9</v>
      </c>
      <c r="K9">
        <v>11.600000000000001</v>
      </c>
      <c r="L9" s="11">
        <f t="shared" si="1"/>
        <v>52.432464269008896</v>
      </c>
      <c r="N9">
        <v>34.9</v>
      </c>
      <c r="O9">
        <v>19.2</v>
      </c>
      <c r="P9">
        <v>14.399999999999999</v>
      </c>
      <c r="Q9">
        <v>3.8</v>
      </c>
      <c r="R9" s="12">
        <f t="shared" si="2"/>
        <v>69.63333333333334</v>
      </c>
      <c r="T9" s="13">
        <v>46882</v>
      </c>
      <c r="U9" s="8">
        <v>0.58099999999999996</v>
      </c>
      <c r="V9">
        <v>0.29099999999999998</v>
      </c>
      <c r="W9" s="14">
        <f t="shared" si="3"/>
        <v>85.714285714285708</v>
      </c>
      <c r="X9">
        <f t="shared" si="4"/>
        <v>57.142857142857139</v>
      </c>
      <c r="Y9">
        <f t="shared" si="5"/>
        <v>85.714285714285708</v>
      </c>
      <c r="Z9" s="10">
        <f t="shared" si="6"/>
        <v>74.285714285714278</v>
      </c>
      <c r="AB9">
        <v>31.5</v>
      </c>
      <c r="AC9">
        <v>52.400000000000006</v>
      </c>
      <c r="AD9">
        <v>5.7</v>
      </c>
      <c r="AE9" s="12">
        <f t="shared" si="7"/>
        <v>66.666666666666671</v>
      </c>
      <c r="AF9">
        <v>211328</v>
      </c>
      <c r="AG9">
        <v>0.58099999999999996</v>
      </c>
      <c r="AH9" s="1">
        <v>2.8000000000000001E-2</v>
      </c>
      <c r="AI9" s="1">
        <v>0.22600000000000001</v>
      </c>
      <c r="AJ9" s="1">
        <v>0.11700000000000001</v>
      </c>
      <c r="AK9" s="1">
        <v>0.11799999999999999</v>
      </c>
      <c r="AL9" s="1">
        <v>9.8000000000000004E-2</v>
      </c>
      <c r="AM9" s="1">
        <v>8.4000000000000005E-2</v>
      </c>
      <c r="AN9" s="1">
        <v>3.1E-2</v>
      </c>
      <c r="AO9" s="1">
        <v>1E-3</v>
      </c>
      <c r="AP9" s="11" cm="1">
        <f t="array" ref="AP9">_xlfn.LET( _xlpm.popRange,$AF$2:$AF$9, _xlpm.empRateRange,$AG$2:$AG$9, _xlpm.sectorRange,AH9:AO9, _xlpm.sectorPct, _xlpm.sectorRange/100, _xlpm.sectorSum, SUM(_xlpm.sectorPct), _xlpm.shares, IF(_xlpm.sectorSum&gt;0, _xlpm.sectorPct/_xlpm.sectorSum, _xlpm.sectorPct), _xlpm.entropy, -SUM(IF(_xlpm.shares&gt;0, _xlpm.shares * LN(_xlpm.shares), 0)), _xlpm.N, COLUMNS(_xlpm.sectorRange), _xlpm.entropy_norm, IF(_xlpm.N&gt;1, _xlpm.entropy / LN(_xlpm.N), 0), _xlpm.empRate_cur, AG9/100, _xlpm.empRate_vec, _xlpm.empRateRange/100, _xlpm.empRate_norm, IF(MAX(_xlpm.empRate_vec)-MIN(_xlpm.empRate_vec)&gt;0, (_xlpm.empRate_cur - MIN(_xlpm.empRate_vec)) / (MAX(_xlpm.empRate_vec)-MIN(_xlpm.empRate_vec)), 0), _xlpm.empPop_cur, AF9 * _xlpm.empRate_cur, _xlpm.empPop_vec, _xlpm.popRange * _xlpm.empRate_vec, _xlpm.lnEmp_vec, LN(_xlpm.empPop_vec + 1), _xlpm.lnEmp_cur, LN(_xlpm.empPop_cur + 1), _xlpm.empPop_norm, IF(MAX(_xlpm.lnEmp_vec)-MIN(_xlpm.lnEmp_vec)&gt;0, (_xlpm.lnEmp_cur - MIN(_xlpm.lnEmp_vec)) / (MAX(_xlpm.lnEmp_vec)-MIN(_xlpm.lnEmp_vec)), 0), _xlpm.w_entropy, 0.6, _xlpm.w_empRate, 0.25, _xlpm.w_empPop, 0.15, _xlpm.score01, _xlpm.w_entropy * _xlpm.entropy_norm + _xlpm.w_empRate * _xlpm.empRate_norm + _xlpm.w_empPop * _xlpm.empPop_norm, ROUND(_xlpm.score01 * 100, 1))</f>
        <v>87.8</v>
      </c>
      <c r="AR9" s="10">
        <f t="shared" si="8"/>
        <v>425.8181785547232</v>
      </c>
      <c r="AS9" s="10">
        <f t="shared" si="9"/>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3405-2A37-4B7C-8270-A40020B287B5}">
  <dimension ref="A1:B9"/>
  <sheetViews>
    <sheetView workbookViewId="0">
      <selection activeCell="B9" sqref="B9"/>
    </sheetView>
  </sheetViews>
  <sheetFormatPr defaultRowHeight="14.5" x14ac:dyDescent="0.35"/>
  <cols>
    <col min="1" max="1" width="12" customWidth="1"/>
    <col min="2" max="2" width="16.81640625" bestFit="1" customWidth="1"/>
  </cols>
  <sheetData>
    <row r="1" spans="1:2" x14ac:dyDescent="0.35">
      <c r="A1" t="str" cm="1">
        <f t="array" ref="A1:A9">Sheet2!A1:A9</f>
        <v>Urban Center</v>
      </c>
      <c r="B1" t="str" cm="1">
        <f t="array" ref="B1:B9">Sheet2!AS1:AS9</f>
        <v>Potentiality Ranking</v>
      </c>
    </row>
    <row r="2" spans="1:2" x14ac:dyDescent="0.35">
      <c r="A2" t="str">
        <v>Canandaigua</v>
      </c>
      <c r="B2">
        <v>1</v>
      </c>
    </row>
    <row r="3" spans="1:2" x14ac:dyDescent="0.35">
      <c r="A3" t="str">
        <v>Geneva</v>
      </c>
      <c r="B3">
        <v>4</v>
      </c>
    </row>
    <row r="4" spans="1:2" x14ac:dyDescent="0.35">
      <c r="A4" t="str">
        <v>Dansville</v>
      </c>
      <c r="B4">
        <v>5</v>
      </c>
    </row>
    <row r="5" spans="1:2" x14ac:dyDescent="0.35">
      <c r="A5" t="str">
        <v>Wayland</v>
      </c>
      <c r="B5">
        <v>7</v>
      </c>
    </row>
    <row r="6" spans="1:2" x14ac:dyDescent="0.35">
      <c r="A6" t="str">
        <v>Geneseo</v>
      </c>
      <c r="B6">
        <v>3</v>
      </c>
    </row>
    <row r="7" spans="1:2" x14ac:dyDescent="0.35">
      <c r="A7" t="str">
        <v>Batavia</v>
      </c>
      <c r="B7">
        <v>6</v>
      </c>
    </row>
    <row r="8" spans="1:2" x14ac:dyDescent="0.35">
      <c r="A8" t="str">
        <v>Brockport</v>
      </c>
      <c r="B8">
        <v>2</v>
      </c>
    </row>
    <row r="9" spans="1:2" x14ac:dyDescent="0.35">
      <c r="A9" t="str">
        <v>Rochester</v>
      </c>
      <c r="B9">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DDDF9-79D8-4B76-8BDC-7387990D80EA}">
  <dimension ref="A1:N25"/>
  <sheetViews>
    <sheetView workbookViewId="0">
      <selection activeCell="E12" sqref="E12"/>
    </sheetView>
  </sheetViews>
  <sheetFormatPr defaultRowHeight="14.5" x14ac:dyDescent="0.35"/>
  <cols>
    <col min="1" max="2" width="11.54296875" customWidth="1"/>
    <col min="3" max="3" width="17.453125" customWidth="1"/>
  </cols>
  <sheetData>
    <row r="1" spans="1:3" x14ac:dyDescent="0.35">
      <c r="A1" t="str" cm="1">
        <f t="array" ref="A1:A9">_xlfn.ANCHORARRAY(Sheet3!A1)</f>
        <v>Urban Center</v>
      </c>
      <c r="B1" t="str">
        <f>Sheet2!AR1</f>
        <v>Viability Raw Score</v>
      </c>
      <c r="C1" t="str">
        <f>Sheet3!B1</f>
        <v>Potentiality Ranking</v>
      </c>
    </row>
    <row r="2" spans="1:3" x14ac:dyDescent="0.35">
      <c r="A2" t="str">
        <v>Canandaigua</v>
      </c>
      <c r="B2" s="10" cm="1">
        <f t="array" ref="B2:B9">Sheet2!AR2:AR9-300</f>
        <v>45.518417015341697</v>
      </c>
      <c r="C2" cm="1">
        <f t="array" ref="C2:C9">Sheet3!B2:B9-1</f>
        <v>0</v>
      </c>
    </row>
    <row r="3" spans="1:3" x14ac:dyDescent="0.35">
      <c r="A3" t="str">
        <v>Geneva</v>
      </c>
      <c r="B3">
        <v>73.695953259532587</v>
      </c>
      <c r="C3">
        <v>3</v>
      </c>
    </row>
    <row r="4" spans="1:3" x14ac:dyDescent="0.35">
      <c r="A4" t="str">
        <v>Dansville</v>
      </c>
      <c r="B4">
        <v>84.740856106721935</v>
      </c>
      <c r="C4">
        <v>4</v>
      </c>
    </row>
    <row r="5" spans="1:3" x14ac:dyDescent="0.35">
      <c r="A5" t="str">
        <v>Wayland</v>
      </c>
      <c r="B5">
        <v>97.74607142857144</v>
      </c>
      <c r="C5">
        <v>6</v>
      </c>
    </row>
    <row r="6" spans="1:3" x14ac:dyDescent="0.35">
      <c r="A6" t="str">
        <v>Geneseo</v>
      </c>
      <c r="B6">
        <v>60.627260138476743</v>
      </c>
      <c r="C6">
        <v>2</v>
      </c>
    </row>
    <row r="7" spans="1:3" x14ac:dyDescent="0.35">
      <c r="A7" t="str">
        <v>Batavia</v>
      </c>
      <c r="B7">
        <v>85.8318771714695</v>
      </c>
      <c r="C7">
        <v>5</v>
      </c>
    </row>
    <row r="8" spans="1:3" x14ac:dyDescent="0.35">
      <c r="A8" t="str">
        <v>Brockport</v>
      </c>
      <c r="B8">
        <v>57.838150380439401</v>
      </c>
      <c r="C8">
        <v>1</v>
      </c>
    </row>
    <row r="9" spans="1:3" x14ac:dyDescent="0.35">
      <c r="A9" t="str">
        <v>Rochester</v>
      </c>
      <c r="B9">
        <v>125.8181785547232</v>
      </c>
      <c r="C9">
        <v>7</v>
      </c>
    </row>
    <row r="19" spans="1:14" x14ac:dyDescent="0.35">
      <c r="A19" t="s">
        <v>38</v>
      </c>
      <c r="C19" s="16" t="s">
        <v>44</v>
      </c>
      <c r="D19" s="16"/>
      <c r="E19" s="16"/>
      <c r="F19" s="16"/>
      <c r="G19" s="16"/>
      <c r="H19" s="16"/>
      <c r="I19" s="16"/>
      <c r="J19" s="16"/>
      <c r="K19" s="16"/>
      <c r="L19" s="16"/>
      <c r="M19" s="16"/>
      <c r="N19" s="16"/>
    </row>
    <row r="20" spans="1:14" x14ac:dyDescent="0.35">
      <c r="A20" t="s">
        <v>39</v>
      </c>
      <c r="C20" s="16" t="s">
        <v>45</v>
      </c>
      <c r="D20" s="16"/>
      <c r="E20" s="16"/>
      <c r="F20" s="16"/>
      <c r="G20" s="16"/>
      <c r="H20" s="16"/>
      <c r="I20" s="16"/>
      <c r="J20" s="16"/>
      <c r="K20" s="16"/>
      <c r="L20" s="16"/>
      <c r="M20" s="16"/>
      <c r="N20" s="16"/>
    </row>
    <row r="21" spans="1:14" x14ac:dyDescent="0.35">
      <c r="A21" t="s">
        <v>37</v>
      </c>
      <c r="C21" s="16" t="s">
        <v>46</v>
      </c>
      <c r="D21" s="16"/>
      <c r="E21" s="16"/>
      <c r="F21" s="16"/>
      <c r="G21" s="16"/>
      <c r="H21" s="16"/>
      <c r="I21" s="16"/>
      <c r="J21" s="16"/>
      <c r="K21" s="16"/>
      <c r="L21" s="16"/>
      <c r="M21" s="16"/>
      <c r="N21" s="16"/>
    </row>
    <row r="22" spans="1:14" x14ac:dyDescent="0.35">
      <c r="A22" t="s">
        <v>40</v>
      </c>
      <c r="C22" s="16" t="s">
        <v>47</v>
      </c>
      <c r="D22" s="16"/>
      <c r="E22" s="16"/>
      <c r="F22" s="16"/>
      <c r="G22" s="16"/>
      <c r="H22" s="16"/>
      <c r="I22" s="16"/>
      <c r="J22" s="16"/>
      <c r="K22" s="16"/>
      <c r="L22" s="16"/>
      <c r="M22" s="16"/>
      <c r="N22" s="16"/>
    </row>
    <row r="23" spans="1:14" x14ac:dyDescent="0.35">
      <c r="A23" t="s">
        <v>41</v>
      </c>
      <c r="C23" s="16" t="s">
        <v>48</v>
      </c>
      <c r="D23" s="16"/>
      <c r="E23" s="16"/>
      <c r="F23" s="16"/>
      <c r="G23" s="16"/>
      <c r="H23" s="16"/>
      <c r="I23" s="16"/>
      <c r="J23" s="16"/>
      <c r="K23" s="16"/>
      <c r="L23" s="16"/>
      <c r="M23" s="16"/>
      <c r="N23" s="16"/>
    </row>
    <row r="24" spans="1:14" x14ac:dyDescent="0.35">
      <c r="A24" t="s">
        <v>42</v>
      </c>
      <c r="C24" s="16" t="s">
        <v>49</v>
      </c>
      <c r="D24" s="16"/>
      <c r="E24" s="16"/>
      <c r="F24" s="16"/>
      <c r="G24" s="16"/>
      <c r="H24" s="16"/>
      <c r="I24" s="16"/>
      <c r="J24" s="16"/>
      <c r="K24" s="16"/>
      <c r="L24" s="16"/>
      <c r="M24" s="16"/>
      <c r="N24" s="16"/>
    </row>
    <row r="25" spans="1:14" x14ac:dyDescent="0.35">
      <c r="A25" t="s">
        <v>43</v>
      </c>
      <c r="C25" s="16" t="s">
        <v>50</v>
      </c>
      <c r="D25" s="16"/>
      <c r="E25" s="16"/>
      <c r="F25" s="16"/>
      <c r="G25" s="16"/>
      <c r="H25" s="16"/>
      <c r="I25" s="16"/>
      <c r="J25" s="16"/>
      <c r="K25" s="16"/>
      <c r="L25" s="16"/>
      <c r="M25" s="16"/>
      <c r="N25" s="16"/>
    </row>
  </sheetData>
  <mergeCells count="7">
    <mergeCell ref="C24:N24"/>
    <mergeCell ref="C25:N25"/>
    <mergeCell ref="C19:N19"/>
    <mergeCell ref="C20:N20"/>
    <mergeCell ref="C21:N21"/>
    <mergeCell ref="C22:N22"/>
    <mergeCell ref="C23:N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Loehr, Connor J.</dc:creator>
  <cp:lastModifiedBy>Loehr, Connor J.</cp:lastModifiedBy>
  <dcterms:created xsi:type="dcterms:W3CDTF">2025-11-26T10:50:17Z</dcterms:created>
  <dcterms:modified xsi:type="dcterms:W3CDTF">2025-12-09T02:34:31Z</dcterms:modified>
</cp:coreProperties>
</file>