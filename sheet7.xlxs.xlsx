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 Loehr\Desktop\Last Final Class\Masters Thesis\"/>
    </mc:Choice>
  </mc:AlternateContent>
  <xr:revisionPtr revIDLastSave="0" documentId="13_ncr:1_{5552F87A-0C3A-4092-ABB1-DC6B1BAD9DC3}" xr6:coauthVersionLast="47" xr6:coauthVersionMax="47" xr10:uidLastSave="{00000000-0000-0000-0000-000000000000}"/>
  <bookViews>
    <workbookView xWindow="-110" yWindow="-110" windowWidth="19420" windowHeight="10300" activeTab="3" xr2:uid="{26FD26ED-FA00-4B50-ABA9-6943EB232E7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Sheet4!$A$2:$A$8</definedName>
    <definedName name="_xlchart.v1.1" hidden="1">Sheet4!$A$2:$A$9</definedName>
    <definedName name="_xlchart.v1.2" hidden="1">Sheet4!$B$1</definedName>
    <definedName name="_xlchart.v1.3" hidden="1">Sheet4!$B$2:$B$8</definedName>
    <definedName name="_xlchart.v1.4" hidden="1">Sheet4!$B$2:$B$9</definedName>
    <definedName name="_xlchart.v1.5" hidden="1">Sheet4!$C$1</definedName>
    <definedName name="_xlchart.v1.6" hidden="1">Sheet4!$C$2:$C$8</definedName>
    <definedName name="_xlchart.v1.7" hidden="1">Sheet4!$C$2:$C$9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B2" i="4" s="1"/>
  <c r="B1" i="4"/>
  <c r="AI2" i="2" a="1"/>
  <c r="AI2" i="2" s="1"/>
  <c r="AJ2" i="2" a="1"/>
  <c r="AJ2" i="2" s="1"/>
  <c r="AK2" i="2" a="1"/>
  <c r="AK2" i="2" s="1"/>
  <c r="AL2" i="2" a="1"/>
  <c r="AL2" i="2" s="1"/>
  <c r="AM2" i="2" a="1"/>
  <c r="AM2" i="2" s="1"/>
  <c r="AN2" i="2" a="1"/>
  <c r="AN2" i="2" s="1"/>
  <c r="AO2" i="2" a="1"/>
  <c r="AO2" i="2" s="1"/>
  <c r="AI1" i="2" a="1"/>
  <c r="AI1" i="2" s="1"/>
  <c r="AJ1" i="2" a="1"/>
  <c r="AJ1" i="2" s="1"/>
  <c r="AK1" i="2" a="1"/>
  <c r="AK1" i="2" s="1"/>
  <c r="AL1" i="2" a="1"/>
  <c r="AL1" i="2" s="1"/>
  <c r="AM1" i="2" a="1"/>
  <c r="AM1" i="2"/>
  <c r="AN1" i="2" a="1"/>
  <c r="AN1" i="2"/>
  <c r="AO1" i="2" a="1"/>
  <c r="AO1" i="2" s="1"/>
  <c r="AH2" i="2" a="1"/>
  <c r="AH2" i="2" s="1"/>
  <c r="AH1" i="2" a="1"/>
  <c r="AH1" i="2" s="1"/>
  <c r="AG2" i="2" a="1"/>
  <c r="AG2" i="2" s="1"/>
  <c r="AG1" i="2" a="1"/>
  <c r="AG1" i="2"/>
  <c r="AF2" i="2" a="1"/>
  <c r="AF2" i="2" s="1"/>
  <c r="AF1" i="2" a="1"/>
  <c r="AF1" i="2"/>
  <c r="AD2" i="2" a="1"/>
  <c r="AD2" i="2" s="1"/>
  <c r="AD1" i="2" a="1"/>
  <c r="AD1" i="2" s="1"/>
  <c r="AC2" i="2" a="1"/>
  <c r="AC2" i="2" s="1"/>
  <c r="AC1" i="2" a="1"/>
  <c r="AC1" i="2" s="1"/>
  <c r="AB2" i="2" a="1"/>
  <c r="AB2" i="2" s="1"/>
  <c r="AB1" i="2" a="1"/>
  <c r="AB1" i="2" s="1"/>
  <c r="V2" i="2" a="1"/>
  <c r="V2" i="2" s="1"/>
  <c r="Y2" i="2" s="1"/>
  <c r="V1" i="2" a="1"/>
  <c r="V1" i="2" s="1"/>
  <c r="U1" i="2" a="1"/>
  <c r="U1" i="2" s="1"/>
  <c r="T2" i="2" a="1"/>
  <c r="T2" i="2" s="1"/>
  <c r="W2" i="2" s="1"/>
  <c r="T1" i="2" a="1"/>
  <c r="T1" i="2" s="1"/>
  <c r="Q2" i="2" a="1"/>
  <c r="Q2" i="2" s="1"/>
  <c r="Q1" i="2" a="1"/>
  <c r="Q1" i="2" s="1"/>
  <c r="P2" i="2" a="1"/>
  <c r="P2" i="2" s="1"/>
  <c r="P1" i="2" a="1"/>
  <c r="P1" i="2" s="1"/>
  <c r="O2" i="2" a="1"/>
  <c r="O2" i="2" s="1"/>
  <c r="O1" i="2" a="1"/>
  <c r="O1" i="2" s="1"/>
  <c r="N2" i="2" a="1"/>
  <c r="N2" i="2" s="1"/>
  <c r="N1" i="2" a="1"/>
  <c r="N1" i="2"/>
  <c r="K2" i="2" a="1"/>
  <c r="K2" i="2" s="1"/>
  <c r="K1" i="2" a="1"/>
  <c r="K1" i="2" s="1"/>
  <c r="J2" i="2" a="1"/>
  <c r="J2" i="2" s="1"/>
  <c r="J1" i="2" a="1"/>
  <c r="J1" i="2" s="1"/>
  <c r="I2" i="2" a="1"/>
  <c r="I2" i="2" s="1"/>
  <c r="I1" i="2" a="1"/>
  <c r="I1" i="2"/>
  <c r="H2" i="2" a="1"/>
  <c r="H2" i="2" s="1"/>
  <c r="H1" i="2" a="1"/>
  <c r="H1" i="2" s="1"/>
  <c r="E2" i="2" a="1"/>
  <c r="E2" i="2" s="1"/>
  <c r="E1" i="2" a="1"/>
  <c r="E1" i="2" s="1"/>
  <c r="D2" i="2" a="1"/>
  <c r="D2" i="2" s="1"/>
  <c r="D1" i="2" a="1"/>
  <c r="D1" i="2" s="1"/>
  <c r="C2" i="2" a="1"/>
  <c r="C2" i="2" s="1"/>
  <c r="C1" i="2" a="1"/>
  <c r="C1" i="2" s="1"/>
  <c r="B2" i="2" a="1"/>
  <c r="B2" i="2" s="1"/>
  <c r="B1" i="2" a="1"/>
  <c r="B1" i="2" s="1"/>
  <c r="A2" i="2" a="1"/>
  <c r="A2" i="2" s="1"/>
  <c r="A1" i="3" s="1" a="1"/>
  <c r="A1" i="2" a="1"/>
  <c r="A1" i="2" s="1"/>
  <c r="AP5" i="2" l="1" a="1"/>
  <c r="AP5" i="2" s="1"/>
  <c r="AP2" i="2" a="1"/>
  <c r="AP2" i="2" s="1"/>
  <c r="AP6" i="2" a="1"/>
  <c r="AP6" i="2" s="1"/>
  <c r="AP4" i="2" a="1"/>
  <c r="AP4" i="2" s="1"/>
  <c r="AP3" i="2" a="1"/>
  <c r="AP3" i="2" s="1"/>
  <c r="AP9" i="2" a="1"/>
  <c r="AP9" i="2" s="1"/>
  <c r="AP8" i="2" a="1"/>
  <c r="AP8" i="2" s="1"/>
  <c r="AP7" i="2" a="1"/>
  <c r="AP7" i="2" s="1"/>
  <c r="F2" i="2"/>
  <c r="Y7" i="2"/>
  <c r="Y9" i="2"/>
  <c r="Y4" i="2"/>
  <c r="F7" i="2"/>
  <c r="F6" i="2"/>
  <c r="Y8" i="2"/>
  <c r="Y6" i="2"/>
  <c r="Y5" i="2"/>
  <c r="Y3" i="2"/>
  <c r="F9" i="2"/>
  <c r="R2" i="2"/>
  <c r="R7" i="2"/>
  <c r="R8" i="2"/>
  <c r="R9" i="2"/>
  <c r="R6" i="2"/>
  <c r="R5" i="2"/>
  <c r="R4" i="2"/>
  <c r="R3" i="2"/>
  <c r="F5" i="2"/>
  <c r="F4" i="2"/>
  <c r="F3" i="2"/>
  <c r="F8" i="2"/>
  <c r="AE2" i="2"/>
  <c r="AE3" i="2"/>
  <c r="AE9" i="2"/>
  <c r="AE8" i="2"/>
  <c r="AE7" i="2"/>
  <c r="AE5" i="2"/>
  <c r="AE6" i="2"/>
  <c r="AE4" i="2"/>
  <c r="L2" i="2"/>
  <c r="W3" i="2"/>
  <c r="W7" i="2"/>
  <c r="W6" i="2"/>
  <c r="W4" i="2"/>
  <c r="W9" i="2"/>
  <c r="W5" i="2"/>
  <c r="W8" i="2"/>
  <c r="L9" i="2"/>
  <c r="L8" i="2"/>
  <c r="L6" i="2"/>
  <c r="L5" i="2"/>
  <c r="L4" i="2"/>
  <c r="L7" i="2"/>
  <c r="L3" i="2"/>
  <c r="X2" i="2"/>
  <c r="Z2" i="2" s="1"/>
  <c r="X8" i="2"/>
  <c r="X7" i="2"/>
  <c r="X6" i="2"/>
  <c r="X5" i="2"/>
  <c r="X4" i="2"/>
  <c r="X3" i="2"/>
  <c r="X9" i="2"/>
  <c r="A1" i="3"/>
  <c r="A1" i="4" a="1"/>
  <c r="A1" i="4" s="1"/>
  <c r="Z9" i="2" l="1"/>
  <c r="AR9" i="2" s="1"/>
  <c r="Z7" i="2"/>
  <c r="AR7" i="2" s="1"/>
  <c r="Z4" i="2"/>
  <c r="AR4" i="2" s="1"/>
  <c r="Z3" i="2"/>
  <c r="AR3" i="2" s="1"/>
  <c r="Z6" i="2"/>
  <c r="AR6" i="2" s="1"/>
  <c r="AR2" i="2"/>
  <c r="Z5" i="2"/>
  <c r="AR5" i="2" s="1"/>
  <c r="Z8" i="2"/>
  <c r="AR8" i="2" s="1"/>
  <c r="AS6" i="2" l="1"/>
  <c r="AS7" i="2"/>
  <c r="AS8" i="2"/>
  <c r="AS9" i="2"/>
  <c r="AS5" i="2"/>
  <c r="AS4" i="2"/>
  <c r="AS3" i="2"/>
  <c r="AS2" i="2"/>
  <c r="B1" i="3" l="1" a="1"/>
  <c r="B1" i="3" s="1"/>
  <c r="C1" i="4" s="1"/>
  <c r="C2" i="4" l="1" a="1"/>
  <c r="C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<sst xmlns="http://schemas.openxmlformats.org/spreadsheetml/2006/main" count="45" uniqueCount="45">
  <si>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Urban Center</t>
  </si>
  <si>
    <t>Area square miles</t>
  </si>
  <si>
    <t>Population</t>
  </si>
  <si>
    <t>Employment %</t>
  </si>
  <si>
    <t>Households</t>
  </si>
  <si>
    <t>Median Household Income $</t>
  </si>
  <si>
    <t>Housing Units</t>
  </si>
  <si>
    <t>Bachelors Degree %</t>
  </si>
  <si>
    <t>Median Age</t>
  </si>
  <si>
    <t>65 and Older %</t>
  </si>
  <si>
    <t>Veterans %</t>
  </si>
  <si>
    <t>School Enrolled %</t>
  </si>
  <si>
    <t>Under 18 %</t>
  </si>
  <si>
    <t>Government Employed %</t>
  </si>
  <si>
    <t>Healthcare Employed %</t>
  </si>
  <si>
    <t>Retail Employed %</t>
  </si>
  <si>
    <t>Education Employed %</t>
  </si>
  <si>
    <t>Manufacturing Employed %</t>
  </si>
  <si>
    <t>Hospitality Employed %</t>
  </si>
  <si>
    <t>Construction Employed %</t>
  </si>
  <si>
    <t>Agriculture Employed %</t>
  </si>
  <si>
    <t>%Poverty</t>
  </si>
  <si>
    <t>%Disabled</t>
  </si>
  <si>
    <t>%w/o Health Ins</t>
  </si>
  <si>
    <t>V &amp; E Score</t>
  </si>
  <si>
    <t>%Homeowner</t>
  </si>
  <si>
    <t>%Vacancy</t>
  </si>
  <si>
    <t>HS Score</t>
  </si>
  <si>
    <t>DR Score</t>
  </si>
  <si>
    <t>Income</t>
  </si>
  <si>
    <t>Employment</t>
  </si>
  <si>
    <t>Poverty</t>
  </si>
  <si>
    <t>ES Score</t>
  </si>
  <si>
    <t>HC&amp;A Score</t>
  </si>
  <si>
    <t>ED Score</t>
  </si>
  <si>
    <t>Viability Raw Score</t>
  </si>
  <si>
    <t>Potentiality Ranking</t>
  </si>
  <si>
    <t>Birmingham, AL</t>
  </si>
  <si>
    <t>Gadsden, AL</t>
  </si>
  <si>
    <t>Anniston, AL</t>
  </si>
  <si>
    <t>Phenix City</t>
  </si>
  <si>
    <t>Decatur, AL</t>
  </si>
  <si>
    <t>Opelika, AL</t>
  </si>
  <si>
    <t>Florence, AL</t>
  </si>
  <si>
    <t>Albertville,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</si>
</sst>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0.0"/>
    <numFmt numFmtId="166" formatCode="0.000"/>
    <numFmt numFmtId="167" formatCode="_(* #,##0.0_);_(* \(#,##0.0\);_(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2" applyNumberFormat="1" applyFont="1"/>
    <xf numFmtId="44" fontId="0" fillId="0" borderId="0" xfId="1" applyFon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44" fontId="0" fillId="2" borderId="0" xfId="1" applyFont="1" applyFill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1" fontId="2" fillId="0" borderId="0" xfId="0" applyNumberFormat="1" applyFont="1" applyAlignment="1">
      <alignment vertical="center"/>
    </xf>
    <xf numFmtId="41" fontId="0" fillId="0" borderId="0" xfId="0" applyNumberFormat="1"/>
    <xf numFmtId="167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_xlchart.v1.3</cx:f>
      </cx:numDim>
    </cx:data>
    <cx:data id="1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Viability | Potentiality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Viability | Potentiality </a:t>
          </a:r>
        </a:p>
      </cx:txPr>
    </cx:title>
    <cx:plotArea>
      <cx:plotAreaRegion>
        <cx:series layoutId="clusteredColumn" uniqueId="{742F0F80-BF10-4902-9191-190A7EAAA646}" formatIdx="0">
          <cx:tx>
            <cx:txData>
              <cx:f>_xlchart.v1.2</cx:f>
              <cx:v>Viability Raw Score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11D7788B-25F0-42CF-85A4-D5CD2E806EC4}" formatIdx="1">
          <cx:axisId val="3"/>
        </cx:series>
        <cx:series layoutId="clusteredColumn" hidden="1" uniqueId="{41B47D52-0C39-4EB7-84BD-D8807D09C4C1}" formatIdx="2">
          <cx:tx>
            <cx:txData>
              <cx:f>_xlchart.v1.5</cx:f>
              <cx:v>Potentiality Ranking</cx:v>
            </cx:txData>
          </cx:tx>
          <cx:dataId val="1"/>
          <cx:layoutPr>
            <cx:aggregation/>
          </cx:layoutPr>
          <cx:axisId val="1"/>
        </cx:series>
        <cx:series layoutId="paretoLine" ownerIdx="2" uniqueId="{BD6BAE15-2977-4E74-A796-A3412991DCED}" formatIdx="3">
          <cx:axisId val="3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3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82550</xdr:rowOff>
    </xdr:from>
    <xdr:to>
      <xdr:col>13</xdr:col>
      <xdr:colOff>34925</xdr:colOff>
      <xdr:row>16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845366-2B2F-CC25-E3DD-4217E1BD8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26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B2C-D143-41DC-A1DC-7A2694457A48}">
  <dimension ref="A1:Z9"/>
  <sheetViews>
    <sheetView workbookViewId="0">
      <selection activeCell="S8" sqref="S8"/>
    </sheetView>
  </sheetViews>
  <sheetFormatPr defaultRowHeight="14.5" x14ac:dyDescent="0.35"/>
  <cols>
    <col min="1" max="1" width="11.6328125" bestFit="1" customWidth="1"/>
    <col min="2" max="2" width="15.26953125" bestFit="1" customWidth="1"/>
    <col min="3" max="3" width="9.453125" bestFit="1" customWidth="1"/>
    <col min="4" max="4" width="12.7265625" style="1" bestFit="1" customWidth="1"/>
    <col min="5" max="5" width="10.36328125" bestFit="1" customWidth="1"/>
    <col min="6" max="6" width="25" style="2" bestFit="1" customWidth="1"/>
    <col min="7" max="7" width="12" bestFit="1" customWidth="1"/>
    <col min="8" max="8" width="17.1796875" style="1" bestFit="1" customWidth="1"/>
    <col min="9" max="9" width="13.81640625" style="1" bestFit="1" customWidth="1"/>
    <col min="10" max="10" width="10.08984375" bestFit="1" customWidth="1"/>
    <col min="11" max="11" width="13" style="1" bestFit="1" customWidth="1"/>
    <col min="12" max="12" width="10" style="1" bestFit="1" customWidth="1"/>
    <col min="13" max="13" width="8.36328125" style="1" bestFit="1" customWidth="1"/>
    <col min="14" max="14" width="15.1796875" style="1" bestFit="1" customWidth="1"/>
    <col min="15" max="15" width="9.26953125" style="1" bestFit="1" customWidth="1"/>
    <col min="16" max="16" width="12.08984375" style="1" bestFit="1" customWidth="1"/>
    <col min="17" max="17" width="9.453125" style="1" bestFit="1" customWidth="1"/>
    <col min="18" max="18" width="10" style="1" bestFit="1" customWidth="1"/>
    <col min="19" max="19" width="21.08984375" style="1" bestFit="1" customWidth="1"/>
    <col min="20" max="20" width="20.08984375" style="1" bestFit="1" customWidth="1"/>
    <col min="21" max="21" width="15.6328125" style="1" bestFit="1" customWidth="1"/>
    <col min="22" max="22" width="19.1796875" style="1" bestFit="1" customWidth="1"/>
    <col min="23" max="23" width="22.81640625" style="1" bestFit="1" customWidth="1"/>
    <col min="24" max="24" width="19.7265625" style="1" bestFit="1" customWidth="1"/>
    <col min="25" max="25" width="21.7265625" style="1" bestFit="1" customWidth="1"/>
    <col min="26" max="26" width="19.90625" style="1" bestFit="1" customWidth="1"/>
  </cols>
  <sheetData>
    <row r="1" spans="1:26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6" t="s">
        <v>7</v>
      </c>
      <c r="I1" s="6" t="s">
        <v>23</v>
      </c>
      <c r="J1" s="5" t="s">
        <v>8</v>
      </c>
      <c r="K1" s="6" t="s">
        <v>9</v>
      </c>
      <c r="L1" s="6" t="s">
        <v>10</v>
      </c>
      <c r="M1" s="6" t="s">
        <v>21</v>
      </c>
      <c r="N1" s="6" t="s">
        <v>11</v>
      </c>
      <c r="O1" s="6" t="s">
        <v>26</v>
      </c>
      <c r="P1" s="6" t="s">
        <v>25</v>
      </c>
      <c r="Q1" s="6" t="s">
        <v>22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35">
      <c r="A2" t="s">
        <v>38</v>
      </c>
      <c r="B2">
        <v>37.299999999999997</v>
      </c>
      <c r="C2" s="3">
        <v>33945</v>
      </c>
      <c r="D2" s="1">
        <v>0.48799999999999999</v>
      </c>
      <c r="E2" s="3">
        <v>12942</v>
      </c>
      <c r="F2" s="2">
        <v>38699</v>
      </c>
      <c r="G2" s="3">
        <v>16378</v>
      </c>
      <c r="H2" s="1">
        <v>0.14799999999999999</v>
      </c>
      <c r="I2" s="1">
        <v>0.192</v>
      </c>
      <c r="J2">
        <v>39.6</v>
      </c>
      <c r="K2" s="1">
        <v>0.184</v>
      </c>
      <c r="L2" s="1">
        <v>6.2E-2</v>
      </c>
      <c r="M2" s="1">
        <v>0.27600000000000002</v>
      </c>
      <c r="N2" s="1">
        <v>0.73399999999999999</v>
      </c>
      <c r="O2" s="1">
        <v>0.20100000000000001</v>
      </c>
      <c r="P2" s="1">
        <v>0.54400000000000004</v>
      </c>
      <c r="Q2" s="1">
        <v>0.185</v>
      </c>
      <c r="R2" s="1">
        <v>0.23100000000000001</v>
      </c>
      <c r="S2" s="1">
        <v>0.05</v>
      </c>
      <c r="T2" s="1">
        <v>0.16800000000000001</v>
      </c>
      <c r="U2" s="1">
        <v>0.108</v>
      </c>
      <c r="V2" s="1">
        <v>6.5000000000000002E-2</v>
      </c>
      <c r="W2" s="1">
        <v>0.21299999999999999</v>
      </c>
      <c r="X2" s="1">
        <v>0.112</v>
      </c>
      <c r="Y2" s="1">
        <v>5.3999999999999999E-2</v>
      </c>
      <c r="Z2" s="1">
        <v>1E-3</v>
      </c>
    </row>
    <row r="3" spans="1:26" x14ac:dyDescent="0.35">
      <c r="A3" t="s">
        <v>39</v>
      </c>
      <c r="B3">
        <v>45.8</v>
      </c>
      <c r="C3" s="3">
        <v>21564</v>
      </c>
      <c r="D3" s="1">
        <v>0.45900000000000002</v>
      </c>
      <c r="E3" s="3">
        <v>9444</v>
      </c>
      <c r="F3" s="2">
        <v>44806</v>
      </c>
      <c r="G3" s="3">
        <v>11749</v>
      </c>
      <c r="H3" s="1">
        <v>0.215</v>
      </c>
      <c r="I3" s="1">
        <v>0.13700000000000001</v>
      </c>
      <c r="J3">
        <v>43.5</v>
      </c>
      <c r="K3" s="1">
        <v>0.23599999999999999</v>
      </c>
      <c r="L3" s="1">
        <v>0.10299999999999999</v>
      </c>
      <c r="M3" s="1">
        <v>0.20100000000000001</v>
      </c>
      <c r="N3" s="1">
        <v>0.73099999999999998</v>
      </c>
      <c r="O3" s="1">
        <v>0.19600000000000001</v>
      </c>
      <c r="P3" s="1">
        <v>0.59099999999999997</v>
      </c>
      <c r="Q3" s="1">
        <v>0.22700000000000001</v>
      </c>
      <c r="R3" s="1">
        <v>0.19900000000000001</v>
      </c>
      <c r="S3" s="1">
        <v>7.9000000000000001E-2</v>
      </c>
      <c r="T3" s="1">
        <v>0.126</v>
      </c>
      <c r="U3" s="1">
        <v>0.121</v>
      </c>
      <c r="V3" s="1">
        <v>0.1</v>
      </c>
      <c r="W3" s="1">
        <v>0.16900000000000001</v>
      </c>
      <c r="X3" s="1">
        <v>7.9000000000000001E-2</v>
      </c>
      <c r="Y3" s="1">
        <v>5.8000000000000003E-2</v>
      </c>
      <c r="Z3" s="1">
        <v>0.01</v>
      </c>
    </row>
    <row r="4" spans="1:26" x14ac:dyDescent="0.35">
      <c r="A4" t="s">
        <v>40</v>
      </c>
      <c r="B4">
        <v>28</v>
      </c>
      <c r="C4" s="3">
        <v>38816</v>
      </c>
      <c r="D4" s="1">
        <v>0.55000000000000004</v>
      </c>
      <c r="E4" s="3">
        <v>16376</v>
      </c>
      <c r="F4" s="2">
        <v>49715</v>
      </c>
      <c r="G4" s="3">
        <v>18671</v>
      </c>
      <c r="H4" s="1">
        <v>0.23300000000000001</v>
      </c>
      <c r="I4" s="1">
        <v>0.122</v>
      </c>
      <c r="J4">
        <v>35.799999999999997</v>
      </c>
      <c r="K4" s="1">
        <v>0.13400000000000001</v>
      </c>
      <c r="L4" s="1">
        <v>0.111</v>
      </c>
      <c r="M4" s="1">
        <v>0.23799999999999999</v>
      </c>
      <c r="N4" s="1">
        <v>0.71899999999999997</v>
      </c>
      <c r="O4" s="1">
        <v>0.123</v>
      </c>
      <c r="P4" s="1">
        <v>0.51500000000000001</v>
      </c>
      <c r="Q4" s="1">
        <v>0.18099999999999999</v>
      </c>
      <c r="R4" s="1">
        <v>0.23899999999999999</v>
      </c>
      <c r="S4" s="1">
        <v>6.9000000000000006E-2</v>
      </c>
      <c r="T4" s="1">
        <v>0.14599999999999999</v>
      </c>
      <c r="U4" s="1">
        <v>0.114</v>
      </c>
      <c r="V4" s="1">
        <v>9.1999999999999998E-2</v>
      </c>
      <c r="W4" s="1">
        <v>0.124</v>
      </c>
      <c r="X4" s="1">
        <v>0.09</v>
      </c>
      <c r="Y4" s="1">
        <v>4.8000000000000001E-2</v>
      </c>
      <c r="Z4" s="1">
        <v>1E-3</v>
      </c>
    </row>
    <row r="5" spans="1:26" x14ac:dyDescent="0.35">
      <c r="A5" t="s">
        <v>41</v>
      </c>
      <c r="B5">
        <v>54.2</v>
      </c>
      <c r="C5" s="3">
        <v>57938</v>
      </c>
      <c r="D5" s="1">
        <v>0.56000000000000005</v>
      </c>
      <c r="E5" s="3">
        <v>23888</v>
      </c>
      <c r="F5" s="2">
        <v>59831</v>
      </c>
      <c r="G5" s="3">
        <v>25654</v>
      </c>
      <c r="H5" s="1">
        <v>0.22800000000000001</v>
      </c>
      <c r="I5" s="1">
        <v>0.13</v>
      </c>
      <c r="J5">
        <v>40.4</v>
      </c>
      <c r="K5" s="1">
        <v>0.18099999999999999</v>
      </c>
      <c r="L5" s="1">
        <v>7.1999999999999995E-2</v>
      </c>
      <c r="M5" s="1">
        <v>0.128</v>
      </c>
      <c r="N5" s="1">
        <v>0.73</v>
      </c>
      <c r="O5" s="1">
        <v>6.9000000000000006E-2</v>
      </c>
      <c r="P5" s="1">
        <v>0.63</v>
      </c>
      <c r="Q5" s="1">
        <v>0.17399999999999999</v>
      </c>
      <c r="R5" s="1">
        <v>0.23400000000000001</v>
      </c>
      <c r="S5" s="1">
        <v>4.3999999999999997E-2</v>
      </c>
      <c r="T5" s="1">
        <v>0.127</v>
      </c>
      <c r="U5" s="1">
        <v>0.14899999999999999</v>
      </c>
      <c r="V5" s="1">
        <v>6.6000000000000003E-2</v>
      </c>
      <c r="W5" s="1">
        <v>0.20200000000000001</v>
      </c>
      <c r="X5" s="1">
        <v>6.8000000000000005E-2</v>
      </c>
      <c r="Y5" s="1">
        <v>8.2000000000000003E-2</v>
      </c>
      <c r="Z5" s="1">
        <v>4.0000000000000001E-3</v>
      </c>
    </row>
    <row r="6" spans="1:26" x14ac:dyDescent="0.35">
      <c r="A6" t="s">
        <v>42</v>
      </c>
      <c r="B6">
        <v>59.1</v>
      </c>
      <c r="C6" s="3">
        <v>30995</v>
      </c>
      <c r="D6" s="1">
        <v>0.57699999999999996</v>
      </c>
      <c r="E6" s="3">
        <v>13121</v>
      </c>
      <c r="F6" s="2">
        <v>58739</v>
      </c>
      <c r="G6" s="3">
        <v>14389</v>
      </c>
      <c r="H6" s="1">
        <v>0.33500000000000002</v>
      </c>
      <c r="I6" s="1">
        <v>9.1999999999999998E-2</v>
      </c>
      <c r="J6">
        <v>40.200000000000003</v>
      </c>
      <c r="K6" s="1">
        <v>0.18</v>
      </c>
      <c r="L6" s="1">
        <v>8.2000000000000003E-2</v>
      </c>
      <c r="M6" s="1">
        <v>0.15</v>
      </c>
      <c r="N6" s="1">
        <v>0.72899999999999998</v>
      </c>
      <c r="O6" s="1">
        <v>8.7999999999999995E-2</v>
      </c>
      <c r="P6" s="1">
        <v>0.68799999999999994</v>
      </c>
      <c r="Q6" s="1">
        <v>0.154</v>
      </c>
      <c r="R6" s="1">
        <v>0.222</v>
      </c>
      <c r="S6" s="1">
        <v>3.3000000000000002E-2</v>
      </c>
      <c r="T6" s="1">
        <v>0.14499999999999999</v>
      </c>
      <c r="U6" s="1">
        <v>0.13800000000000001</v>
      </c>
      <c r="V6" s="1">
        <v>0.155</v>
      </c>
      <c r="W6" s="1">
        <v>0.16500000000000001</v>
      </c>
      <c r="X6" s="1">
        <v>8.4000000000000005E-2</v>
      </c>
      <c r="Y6" s="1">
        <v>3.1E-2</v>
      </c>
      <c r="Z6" s="1">
        <v>7.0000000000000001E-3</v>
      </c>
    </row>
    <row r="7" spans="1:26" x14ac:dyDescent="0.35">
      <c r="A7" t="s">
        <v>43</v>
      </c>
      <c r="B7">
        <v>26.5</v>
      </c>
      <c r="C7" s="3">
        <v>40184</v>
      </c>
      <c r="D7" s="1">
        <v>0.53200000000000003</v>
      </c>
      <c r="E7" s="3">
        <v>17203</v>
      </c>
      <c r="F7" s="2">
        <v>50396</v>
      </c>
      <c r="G7" s="3">
        <v>19766</v>
      </c>
      <c r="H7" s="1">
        <v>0.311</v>
      </c>
      <c r="I7" s="1">
        <v>0.11799999999999999</v>
      </c>
      <c r="J7">
        <v>35.1</v>
      </c>
      <c r="K7" s="1">
        <v>0.17199999999999999</v>
      </c>
      <c r="L7" s="1">
        <v>6.6000000000000003E-2</v>
      </c>
      <c r="M7" s="1">
        <v>0.193</v>
      </c>
      <c r="N7" s="1">
        <v>0.45700000000000002</v>
      </c>
      <c r="O7" s="1">
        <v>0.129</v>
      </c>
      <c r="P7" s="1">
        <v>0.505</v>
      </c>
      <c r="Q7" s="1">
        <v>0.17399999999999999</v>
      </c>
      <c r="R7" s="1">
        <v>0.191</v>
      </c>
      <c r="S7" s="1">
        <v>4.1000000000000002E-2</v>
      </c>
      <c r="T7" s="1">
        <v>0.15</v>
      </c>
      <c r="U7" s="1">
        <v>0.152</v>
      </c>
      <c r="V7" s="1">
        <v>9.9000000000000005E-2</v>
      </c>
      <c r="W7" s="1">
        <v>0.121</v>
      </c>
      <c r="X7" s="1">
        <v>0.107</v>
      </c>
      <c r="Y7" s="1">
        <v>5.3999999999999999E-2</v>
      </c>
      <c r="Z7" s="1">
        <v>2E-3</v>
      </c>
    </row>
    <row r="8" spans="1:26" x14ac:dyDescent="0.35">
      <c r="A8" t="s">
        <v>44</v>
      </c>
      <c r="B8">
        <v>26.8</v>
      </c>
      <c r="C8" s="3">
        <v>22386</v>
      </c>
      <c r="D8" s="1">
        <v>0.56699999999999995</v>
      </c>
      <c r="E8" s="3">
        <v>7555</v>
      </c>
      <c r="F8" s="2">
        <v>57103</v>
      </c>
      <c r="G8" s="3">
        <v>8227</v>
      </c>
      <c r="H8" s="1">
        <v>0.20899999999999999</v>
      </c>
      <c r="I8" s="1">
        <v>0.13900000000000001</v>
      </c>
      <c r="J8">
        <v>32.200000000000003</v>
      </c>
      <c r="K8" s="1">
        <v>0.14000000000000001</v>
      </c>
      <c r="L8" s="1">
        <v>4.7E-2</v>
      </c>
      <c r="M8" s="1">
        <v>0.17100000000000001</v>
      </c>
      <c r="N8" s="1">
        <v>0.78600000000000003</v>
      </c>
      <c r="O8" s="1">
        <v>8.2000000000000003E-2</v>
      </c>
      <c r="P8" s="1">
        <v>0.68899999999999995</v>
      </c>
      <c r="Q8" s="1">
        <v>0.13300000000000001</v>
      </c>
      <c r="R8" s="1">
        <v>0.307</v>
      </c>
      <c r="S8" s="1">
        <v>2.5000000000000001E-2</v>
      </c>
      <c r="T8" s="1">
        <v>0.11</v>
      </c>
      <c r="U8" s="1">
        <v>0.13400000000000001</v>
      </c>
      <c r="V8" s="1">
        <v>5.8999999999999997E-2</v>
      </c>
      <c r="W8" s="1">
        <v>0.223</v>
      </c>
      <c r="X8" s="1">
        <v>5.5E-2</v>
      </c>
      <c r="Y8" s="1">
        <v>0.08</v>
      </c>
      <c r="Z8" s="1">
        <v>2.5999999999999999E-2</v>
      </c>
    </row>
    <row r="9" spans="1:26" x14ac:dyDescent="0.35">
      <c r="A9" t="s">
        <v>37</v>
      </c>
      <c r="B9">
        <v>146.1</v>
      </c>
      <c r="C9" s="3">
        <v>200733</v>
      </c>
      <c r="D9" s="1">
        <v>0.58299999999999996</v>
      </c>
      <c r="E9" s="3">
        <v>91130</v>
      </c>
      <c r="F9" s="2">
        <v>51355</v>
      </c>
      <c r="G9" s="3">
        <v>110757</v>
      </c>
      <c r="H9" s="1">
        <v>0.33</v>
      </c>
      <c r="I9" s="1">
        <v>0.13100000000000001</v>
      </c>
      <c r="J9">
        <v>37.200000000000003</v>
      </c>
      <c r="K9" s="1">
        <v>0.191</v>
      </c>
      <c r="L9" s="1">
        <v>3.6999999999999998E-2</v>
      </c>
      <c r="M9" s="1">
        <v>0.223</v>
      </c>
      <c r="N9" s="1">
        <v>0.56599999999999995</v>
      </c>
      <c r="O9" s="1">
        <v>0.17799999999999999</v>
      </c>
      <c r="P9" s="1">
        <v>0.46800000000000003</v>
      </c>
      <c r="Q9" s="1">
        <v>0.17499999999999999</v>
      </c>
      <c r="R9" s="1">
        <v>0.18</v>
      </c>
      <c r="S9" s="1">
        <v>4.1000000000000002E-2</v>
      </c>
      <c r="T9" s="1">
        <v>0.17599999999999999</v>
      </c>
      <c r="U9" s="1">
        <v>0.108</v>
      </c>
      <c r="V9" s="1">
        <v>9.4E-2</v>
      </c>
      <c r="W9" s="1">
        <v>8.3000000000000004E-2</v>
      </c>
      <c r="X9" s="1">
        <v>0.10299999999999999</v>
      </c>
      <c r="Y9" s="1">
        <v>4.2000000000000003E-2</v>
      </c>
      <c r="Z9" s="1">
        <v>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F80B-CB8B-4294-B640-4A8D92D254E1}">
  <dimension ref="A1:AS9"/>
  <sheetViews>
    <sheetView workbookViewId="0">
      <selection activeCell="Z5" sqref="Z5"/>
    </sheetView>
  </sheetViews>
  <sheetFormatPr defaultRowHeight="14.5" x14ac:dyDescent="0.35"/>
  <cols>
    <col min="1" max="1" width="11.54296875" customWidth="1"/>
    <col min="2" max="2" width="8.7265625" hidden="1" customWidth="1"/>
    <col min="3" max="5" width="0" hidden="1" customWidth="1"/>
    <col min="6" max="6" width="9.54296875" customWidth="1"/>
    <col min="7" max="7" width="0" hidden="1" customWidth="1"/>
    <col min="8" max="8" width="11.7265625" hidden="1" customWidth="1"/>
    <col min="9" max="9" width="10.26953125" hidden="1" customWidth="1"/>
    <col min="10" max="10" width="14.08984375" hidden="1" customWidth="1"/>
    <col min="11" max="11" width="0" hidden="1" customWidth="1"/>
    <col min="12" max="12" width="7.81640625" customWidth="1"/>
    <col min="13" max="17" width="0" hidden="1" customWidth="1"/>
    <col min="19" max="19" width="0" hidden="1" customWidth="1"/>
    <col min="20" max="20" width="11.1796875" style="13" hidden="1" customWidth="1"/>
    <col min="21" max="25" width="0" hidden="1" customWidth="1"/>
    <col min="27" max="30" width="0" hidden="1" customWidth="1"/>
    <col min="32" max="33" width="0" hidden="1" customWidth="1"/>
    <col min="34" max="41" width="0" style="1" hidden="1" customWidth="1"/>
    <col min="44" max="44" width="13.26953125" customWidth="1"/>
  </cols>
  <sheetData>
    <row r="1" spans="1:45" x14ac:dyDescent="0.35">
      <c r="A1" t="str" cm="1">
        <f t="array" ref="A1">Sheet1!A1:A1</f>
        <v>Urban Center</v>
      </c>
      <c r="B1" t="str" cm="1">
        <f t="array" ref="B1">Sheet1!M1:M1</f>
        <v>%Poverty</v>
      </c>
      <c r="C1" t="str" cm="1">
        <f t="array" ref="C1">Sheet1!Q1:Q1</f>
        <v>%Disabled</v>
      </c>
      <c r="D1" t="str" cm="1">
        <f t="array" ref="D1">Sheet1!I1:I1</f>
        <v>%w/o Health Ins</v>
      </c>
      <c r="E1" t="str" cm="1">
        <f t="array" ref="E1">Sheet1!P1:P1</f>
        <v>%Homeowner</v>
      </c>
      <c r="F1" t="s">
        <v>24</v>
      </c>
      <c r="H1" t="str" cm="1">
        <f t="array" ref="H1">Sheet1!G1:G1</f>
        <v>Housing Units</v>
      </c>
      <c r="I1" t="str" cm="1">
        <f t="array" ref="I1">Sheet1!E1:E1</f>
        <v>Households</v>
      </c>
      <c r="J1" t="str" cm="1">
        <f t="array" ref="J1">Sheet1!P1:P1</f>
        <v>%Homeowner</v>
      </c>
      <c r="K1" t="str" cm="1">
        <f t="array" ref="K1">Sheet1!O1:O1</f>
        <v>%Vacancy</v>
      </c>
      <c r="L1" t="s">
        <v>27</v>
      </c>
      <c r="N1" t="str" cm="1">
        <f t="array" ref="N1">Sheet1!J1:J1</f>
        <v>Median Age</v>
      </c>
      <c r="O1" t="str" cm="1">
        <f t="array" ref="O1">Sheet1!R1:R1</f>
        <v>Under 18 %</v>
      </c>
      <c r="P1" t="str" cm="1">
        <f t="array" ref="P1">Sheet1!K1:K1</f>
        <v>65 and Older %</v>
      </c>
      <c r="Q1" t="str" cm="1">
        <f t="array" ref="Q1">Sheet1!L1:L1</f>
        <v>Veterans %</v>
      </c>
      <c r="R1" t="s">
        <v>28</v>
      </c>
      <c r="T1" s="13" t="str" cm="1">
        <f t="array" ref="T1">Sheet1!F1:F1</f>
        <v>Median Household Income $</v>
      </c>
      <c r="U1" t="str" cm="1">
        <f t="array" ref="U1:U9">Sheet1!D1:D9</f>
        <v>Employment %</v>
      </c>
      <c r="V1" t="str" cm="1">
        <f t="array" ref="V1">Sheet1!M1:M1</f>
        <v>%Poverty</v>
      </c>
      <c r="W1" s="1" t="s">
        <v>29</v>
      </c>
      <c r="X1" s="1" t="s">
        <v>30</v>
      </c>
      <c r="Y1" s="1" t="s">
        <v>31</v>
      </c>
      <c r="Z1" s="1" t="s">
        <v>32</v>
      </c>
      <c r="AB1" t="str" cm="1">
        <f t="array" ref="AB1">Sheet1!H1:H1</f>
        <v>Bachelors Degree %</v>
      </c>
      <c r="AC1" t="str" cm="1">
        <f t="array" ref="AC1">Sheet1!N1:N1</f>
        <v>School Enrolled %</v>
      </c>
      <c r="AD1" t="str" cm="1">
        <f t="array" ref="AD1">Sheet1!I1:I1</f>
        <v>%w/o Health Ins</v>
      </c>
      <c r="AE1" t="s">
        <v>33</v>
      </c>
      <c r="AF1" t="str" cm="1">
        <f t="array" ref="AF1">Sheet1!C1:C1</f>
        <v>Population</v>
      </c>
      <c r="AG1" t="str" cm="1">
        <f t="array" ref="AG1">Sheet1!D1:D1</f>
        <v>Employment %</v>
      </c>
      <c r="AH1" s="1" t="str" cm="1">
        <f t="array" ref="AH1">Sheet1!S1:S1</f>
        <v>Government Employed %</v>
      </c>
      <c r="AI1" s="1" t="str" cm="1">
        <f t="array" ref="AI1">Sheet1!T1:T1</f>
        <v>Healthcare Employed %</v>
      </c>
      <c r="AJ1" s="1" t="str" cm="1">
        <f t="array" ref="AJ1">Sheet1!U1:U1</f>
        <v>Retail Employed %</v>
      </c>
      <c r="AK1" s="1" t="str" cm="1">
        <f t="array" ref="AK1">Sheet1!V1:V1</f>
        <v>Education Employed %</v>
      </c>
      <c r="AL1" s="1" t="str" cm="1">
        <f t="array" ref="AL1">Sheet1!W1:W1</f>
        <v>Manufacturing Employed %</v>
      </c>
      <c r="AM1" s="1" t="str" cm="1">
        <f t="array" ref="AM1">Sheet1!X1:X1</f>
        <v>Hospitality Employed %</v>
      </c>
      <c r="AN1" s="1" t="str" cm="1">
        <f t="array" ref="AN1">Sheet1!Y1:Y1</f>
        <v>Construction Employed %</v>
      </c>
      <c r="AO1" s="1" t="str" cm="1">
        <f t="array" ref="AO1">Sheet1!Z1:Z1</f>
        <v>Agriculture Employed %</v>
      </c>
      <c r="AP1" t="s">
        <v>34</v>
      </c>
      <c r="AR1" t="s">
        <v>35</v>
      </c>
      <c r="AS1" t="s">
        <v>36</v>
      </c>
    </row>
    <row r="2" spans="1:45" x14ac:dyDescent="0.35">
      <c r="A2" t="str" cm="1">
        <f t="array" ref="A2:A9">Sheet1!A2:A9</f>
        <v>Gadsden, AL</v>
      </c>
      <c r="B2" cm="1">
        <f t="array" ref="B2:B9">Sheet1!M2:M9*100</f>
        <v>27.6</v>
      </c>
      <c r="C2" cm="1">
        <f t="array" ref="C2:C9">Sheet1!Q2:Q9*100</f>
        <v>18.5</v>
      </c>
      <c r="D2" cm="1">
        <f t="array" ref="D2:D9">Sheet1!I2:I9*100</f>
        <v>19.2</v>
      </c>
      <c r="E2" s="4" cm="1">
        <f t="array" ref="E2:E9">Sheet1!P2:P9*100</f>
        <v>54.400000000000006</v>
      </c>
      <c r="F2">
        <f>ROUND(((100-B2)*0.4+(100-C2)*0.3+(100-D2)*0.2+E2*0.1),0)</f>
        <v>75</v>
      </c>
      <c r="H2" s="3" cm="1">
        <f t="array" ref="H2:H9">Sheet1!G2:G9</f>
        <v>16378</v>
      </c>
      <c r="I2" s="3" cm="1">
        <f t="array" ref="I2:I9">Sheet1!E2:E9</f>
        <v>12942</v>
      </c>
      <c r="J2" s="3" cm="1">
        <f t="array" ref="J2:J9">Sheet1!P2:P9*100</f>
        <v>54.400000000000006</v>
      </c>
      <c r="K2" cm="1">
        <f t="array" ref="K2:K9">Sheet1!O2:O9*100</f>
        <v>20.100000000000001</v>
      </c>
      <c r="L2" s="11">
        <f>( MIN(1,MAX(0,((H2/I2)-0.8)/(1.2-0.8)))*100*0.4 + J2*0.45 + K2*0.15)</f>
        <v>67.495000000000005</v>
      </c>
      <c r="N2" cm="1">
        <f t="array" ref="N2:N9">Sheet1!J2:J9</f>
        <v>39.6</v>
      </c>
      <c r="O2" cm="1">
        <f t="array" ref="O2:O9">Sheet1!R2:R9*100</f>
        <v>23.1</v>
      </c>
      <c r="P2" cm="1">
        <f t="array" ref="P2:P9">Sheet1!K2:K9*100</f>
        <v>18.399999999999999</v>
      </c>
      <c r="Q2" cm="1">
        <f t="array" ref="Q2:Q9">Sheet1!L2:L9*100</f>
        <v>6.2</v>
      </c>
      <c r="R2" s="12">
        <f>( MAX(0,100 - ABS(N2-35)/20*100) + MAX(0,100 - ABS(O2-P2)/50*100) + MIN(Q2/20*100,100) )/3</f>
        <v>66.2</v>
      </c>
      <c r="T2" s="13" cm="1">
        <f t="array" ref="T2:T9">Sheet1!F2:F9</f>
        <v>38699</v>
      </c>
      <c r="U2" s="8">
        <v>0.48799999999999999</v>
      </c>
      <c r="V2" s="9" cm="1">
        <f t="array" ref="V2:V9">Sheet1!M2:M9</f>
        <v>0.27600000000000002</v>
      </c>
      <c r="W2" s="14">
        <f xml:space="preserve"> (_xlfn.RANK.EQ(T2,$T$2:$T$9,0)-1) / (COUNTA($T$2:$T$9)-1) * 100</f>
        <v>100</v>
      </c>
      <c r="X2">
        <f xml:space="preserve"> (_xlfn.RANK.EQ(U2,$U$2:$U$9,0)-1) / (COUNTA($U$2:$U$101)-1) * 100</f>
        <v>85.714285714285708</v>
      </c>
      <c r="Y2">
        <f xml:space="preserve"> (_xlfn.RANK.EQ(V2,$V$2:$V$9,1)-1) / (COUNTA($V$2:$V$9)-1) * 100</f>
        <v>100</v>
      </c>
      <c r="Z2" s="10">
        <f>(0.4*W2)+(0.4*X2)+(0.2*Y2)</f>
        <v>94.285714285714278</v>
      </c>
      <c r="AB2" cm="1">
        <f t="array" ref="AB2:AB9">Sheet1!H2:H9*100</f>
        <v>14.799999999999999</v>
      </c>
      <c r="AC2" cm="1">
        <f t="array" ref="AC2:AC9">Sheet1!N2:N9*100</f>
        <v>73.400000000000006</v>
      </c>
      <c r="AD2" cm="1">
        <f t="array" ref="AD2:AD9">Sheet1!I2:I9*100</f>
        <v>19.2</v>
      </c>
      <c r="AE2" s="12">
        <f xml:space="preserve"> ( (_xlfn.RANK.EQ(AB2,$AB$2:$AB$9,0)-1)/(COUNTA($AB$2:$AB$9)-1)*100+(_xlfn.RANK.EQ(AC2,$AC$2:$AC$9,0)-1)/(COUNTA($AC$2:$AC$9)-1)*100+(_xlfn.RANK.EQ(AD2,$AD$2:$AD$9,1)-1)/(COUNTA($AD$2:$AD$9)-1)*100) / 3</f>
        <v>71.428571428571431</v>
      </c>
      <c r="AF2" s="3" cm="1">
        <f t="array" ref="AF2:AF9">Sheet1!C2:C9</f>
        <v>33945</v>
      </c>
      <c r="AG2" cm="1">
        <f t="array" ref="AG2:AG9">Sheet1!D2:D9</f>
        <v>0.48799999999999999</v>
      </c>
      <c r="AH2" s="1" cm="1">
        <f t="array" ref="AH2:AH9">Sheet1!S2:S9</f>
        <v>0.05</v>
      </c>
      <c r="AI2" s="1" cm="1">
        <f t="array" ref="AI2:AI9">Sheet1!T2:T9</f>
        <v>0.16800000000000001</v>
      </c>
      <c r="AJ2" s="1" cm="1">
        <f t="array" ref="AJ2:AJ9">Sheet1!U2:U9</f>
        <v>0.108</v>
      </c>
      <c r="AK2" s="1" cm="1">
        <f t="array" ref="AK2:AK9">Sheet1!V2:V9</f>
        <v>6.5000000000000002E-2</v>
      </c>
      <c r="AL2" s="1" cm="1">
        <f t="array" ref="AL2:AL9">Sheet1!W2:W9</f>
        <v>0.21299999999999999</v>
      </c>
      <c r="AM2" s="1" cm="1">
        <f t="array" ref="AM2:AM9">Sheet1!X2:X9</f>
        <v>0.112</v>
      </c>
      <c r="AN2" s="1" cm="1">
        <f t="array" ref="AN2:AN9">Sheet1!Y2:Y9</f>
        <v>5.3999999999999999E-2</v>
      </c>
      <c r="AO2" s="1" cm="1">
        <f t="array" ref="AO2:AO9">Sheet1!Z2:Z9</f>
        <v>1E-3</v>
      </c>
      <c r="AP2" s="11" cm="1">
        <f t="array" ref="AP2">_xlfn.LET( _xlpm.popRange,$AF$2:$AF$9, _xlpm.empRateRange,$AG$2:$AG$9, _xlpm.sectorRange,AH2:AO2,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AG2/100, _xlpm.empRate_vec, _xlpm.empRateRange/100, _xlpm.empRate_norm, IF(MAX(_xlpm.empRate_vec)-MIN(_xlpm.empRate_vec)&gt;0, (_xlpm.empRate_cur - MIN(_xlpm.empRate_vec)) / (MAX(_xlpm.empRate_vec)-MIN(_xlpm.empRate_vec)), 0), _xlpm.empPop_cur, AF2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61.6</v>
      </c>
      <c r="AR2" s="10">
        <f>F2+L2+R2+Z2+AE2+AP2</f>
        <v>436.00928571428574</v>
      </c>
      <c r="AS2" s="10">
        <f>_xlfn.RANK.EQ(AR2,$AR$2:$AR$9,1)</f>
        <v>8</v>
      </c>
    </row>
    <row r="3" spans="1:45" x14ac:dyDescent="0.35">
      <c r="A3" t="str">
        <v>Anniston, AL</v>
      </c>
      <c r="B3">
        <v>20.100000000000001</v>
      </c>
      <c r="C3">
        <v>22.7</v>
      </c>
      <c r="D3">
        <v>13.700000000000001</v>
      </c>
      <c r="E3">
        <v>59.099999999999994</v>
      </c>
      <c r="F3">
        <f t="shared" ref="F3:F9" si="0">ROUND(((100-B3)*0.4+(100-C3)*0.3+(100-D3)*0.2+E3*0.1),0)</f>
        <v>78</v>
      </c>
      <c r="H3">
        <v>11749</v>
      </c>
      <c r="I3">
        <v>9444</v>
      </c>
      <c r="J3">
        <v>59.099999999999994</v>
      </c>
      <c r="K3">
        <v>19.600000000000001</v>
      </c>
      <c r="L3" s="11">
        <f t="shared" ref="L3:L9" si="1">( MIN(1,MAX(0,((H3/I3)-0.8)/(1.2-0.8)))*100*0.4 + J3*0.45 + K3*0.15)</f>
        <v>69.534999999999997</v>
      </c>
      <c r="N3">
        <v>43.5</v>
      </c>
      <c r="O3">
        <v>19.900000000000002</v>
      </c>
      <c r="P3">
        <v>23.599999999999998</v>
      </c>
      <c r="Q3">
        <v>10.299999999999999</v>
      </c>
      <c r="R3" s="12">
        <f t="shared" ref="R3:R9" si="2">( MAX(0,100 - ABS(N3-35)/20*100) + MAX(0,100 - ABS(O3-P3)/50*100) + MIN(Q3/20*100,100) )/3</f>
        <v>67.2</v>
      </c>
      <c r="T3" s="13">
        <v>44806</v>
      </c>
      <c r="U3" s="8">
        <v>0.45900000000000002</v>
      </c>
      <c r="V3">
        <v>0.20100000000000001</v>
      </c>
      <c r="W3" s="14">
        <f t="shared" ref="W3:W9" si="3" xml:space="preserve"> (_xlfn.RANK.EQ(T3,$T$2:$T$9,0)-1) / (COUNTA($T$2:$T$9)-1) * 100</f>
        <v>85.714285714285708</v>
      </c>
      <c r="X3">
        <f t="shared" ref="X3:X9" si="4" xml:space="preserve"> (_xlfn.RANK.EQ(U3,$U$2:$U$9,0)-1) / (COUNTA($U$2:$U$101)-1) * 100</f>
        <v>100</v>
      </c>
      <c r="Y3">
        <f t="shared" ref="Y3:Y9" si="5" xml:space="preserve"> (_xlfn.RANK.EQ(V3,$V$2:$V$9,1)-1) / (COUNTA($V$2:$V$9)-1) * 100</f>
        <v>57.142857142857139</v>
      </c>
      <c r="Z3" s="10">
        <f t="shared" ref="Z3:Z9" si="6">(0.4*W3)+(0.4*X3)+(0.2*Y3)</f>
        <v>85.714285714285708</v>
      </c>
      <c r="AB3">
        <v>21.5</v>
      </c>
      <c r="AC3">
        <v>73.099999999999994</v>
      </c>
      <c r="AD3">
        <v>13.700000000000001</v>
      </c>
      <c r="AE3" s="12">
        <f t="shared" ref="AE3:AE9" si="7" xml:space="preserve"> ( (_xlfn.RANK.EQ(AB3,$AB$2:$AB$9,0)-1)/(COUNTA($AB$2:$AB$9)-1)*100+(_xlfn.RANK.EQ(AC3,$AC$2:$AC$9,0)-1)/(COUNTA($AC$2:$AC$9)-1)*100+(_xlfn.RANK.EQ(AD3,$AD$2:$AD$9,1)-1)/(COUNTA($AD$2:$AD$9)-1)*100) / 3</f>
        <v>57.142857142857146</v>
      </c>
      <c r="AF3">
        <v>21564</v>
      </c>
      <c r="AG3">
        <v>0.45900000000000002</v>
      </c>
      <c r="AH3" s="1">
        <v>7.9000000000000001E-2</v>
      </c>
      <c r="AI3" s="1">
        <v>0.126</v>
      </c>
      <c r="AJ3" s="1">
        <v>0.121</v>
      </c>
      <c r="AK3" s="1">
        <v>0.1</v>
      </c>
      <c r="AL3" s="1">
        <v>0.16900000000000001</v>
      </c>
      <c r="AM3" s="1">
        <v>7.9000000000000001E-2</v>
      </c>
      <c r="AN3" s="1">
        <v>5.8000000000000003E-2</v>
      </c>
      <c r="AO3" s="1">
        <v>0.01</v>
      </c>
      <c r="AP3" s="11" cm="1">
        <f t="array" ref="AP3">_xlfn.LET( _xlpm.popRange,$AF$2:$AF$9, _xlpm.empRateRange,$AG$2:$AG$9, _xlpm.sectorRange,AH3:AO3,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AG3/100, _xlpm.empRate_vec, _xlpm.empRateRange/100, _xlpm.empRate_norm, IF(MAX(_xlpm.empRate_vec)-MIN(_xlpm.empRate_vec)&gt;0, (_xlpm.empRate_cur - MIN(_xlpm.empRate_vec)) / (MAX(_xlpm.empRate_vec)-MIN(_xlpm.empRate_vec)), 0), _xlpm.empPop_cur, AF3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55.9</v>
      </c>
      <c r="AR3" s="10">
        <f t="shared" ref="AR3:AR9" si="8">F3+L3+R3+Z3+AE3+AP3</f>
        <v>413.49214285714288</v>
      </c>
      <c r="AS3" s="10">
        <f t="shared" ref="AS3:AS9" si="9">_xlfn.RANK.EQ(AR3,$AR$2:$AR$9,1)</f>
        <v>7</v>
      </c>
    </row>
    <row r="4" spans="1:45" x14ac:dyDescent="0.35">
      <c r="A4" t="str">
        <v>Phenix City</v>
      </c>
      <c r="B4">
        <v>23.799999999999997</v>
      </c>
      <c r="C4">
        <v>18.099999999999998</v>
      </c>
      <c r="D4">
        <v>12.2</v>
      </c>
      <c r="E4">
        <v>51.5</v>
      </c>
      <c r="F4">
        <f t="shared" si="0"/>
        <v>78</v>
      </c>
      <c r="H4">
        <v>18671</v>
      </c>
      <c r="I4">
        <v>16376</v>
      </c>
      <c r="J4">
        <v>51.5</v>
      </c>
      <c r="K4">
        <v>12.3</v>
      </c>
      <c r="L4" s="11">
        <f t="shared" si="1"/>
        <v>59.034411333659023</v>
      </c>
      <c r="N4">
        <v>35.799999999999997</v>
      </c>
      <c r="O4">
        <v>23.9</v>
      </c>
      <c r="P4">
        <v>13.4</v>
      </c>
      <c r="Q4">
        <v>11.1</v>
      </c>
      <c r="R4" s="12">
        <f t="shared" si="2"/>
        <v>76.833333333333329</v>
      </c>
      <c r="T4" s="13">
        <v>49715</v>
      </c>
      <c r="U4" s="8">
        <v>0.55000000000000004</v>
      </c>
      <c r="V4">
        <v>0.23799999999999999</v>
      </c>
      <c r="W4" s="14">
        <f t="shared" si="3"/>
        <v>71.428571428571431</v>
      </c>
      <c r="X4">
        <f t="shared" si="4"/>
        <v>57.142857142857139</v>
      </c>
      <c r="Y4">
        <f t="shared" si="5"/>
        <v>85.714285714285708</v>
      </c>
      <c r="Z4" s="10">
        <f t="shared" si="6"/>
        <v>68.571428571428569</v>
      </c>
      <c r="AB4">
        <v>23.3</v>
      </c>
      <c r="AC4">
        <v>71.899999999999991</v>
      </c>
      <c r="AD4">
        <v>12.2</v>
      </c>
      <c r="AE4" s="12">
        <f t="shared" si="7"/>
        <v>47.619047619047613</v>
      </c>
      <c r="AF4">
        <v>38816</v>
      </c>
      <c r="AG4">
        <v>0.55000000000000004</v>
      </c>
      <c r="AH4" s="1">
        <v>6.9000000000000006E-2</v>
      </c>
      <c r="AI4" s="1">
        <v>0.14599999999999999</v>
      </c>
      <c r="AJ4" s="1">
        <v>0.114</v>
      </c>
      <c r="AK4" s="1">
        <v>9.1999999999999998E-2</v>
      </c>
      <c r="AL4" s="1">
        <v>0.124</v>
      </c>
      <c r="AM4" s="1">
        <v>0.09</v>
      </c>
      <c r="AN4" s="1">
        <v>4.8000000000000001E-2</v>
      </c>
      <c r="AO4" s="1">
        <v>1E-3</v>
      </c>
      <c r="AP4" s="11" cm="1">
        <f t="array" ref="AP4">_xlfn.LET( _xlpm.popRange,$AF$2:$AF$9, _xlpm.empRateRange,$AG$2:$AG$9, _xlpm.sectorRange,AH4:AO4,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AG4/100, _xlpm.empRate_vec, _xlpm.empRateRange/100, _xlpm.empRate_norm, IF(MAX(_xlpm.empRate_vec)-MIN(_xlpm.empRate_vec)&gt;0, (_xlpm.empRate_cur - MIN(_xlpm.empRate_vec)) / (MAX(_xlpm.empRate_vec)-MIN(_xlpm.empRate_vec)), 0), _xlpm.empPop_cur, AF4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77.900000000000006</v>
      </c>
      <c r="AR4" s="10">
        <f t="shared" si="8"/>
        <v>407.95822085746852</v>
      </c>
      <c r="AS4" s="10">
        <f t="shared" si="9"/>
        <v>6</v>
      </c>
    </row>
    <row r="5" spans="1:45" x14ac:dyDescent="0.35">
      <c r="A5" t="str">
        <v>Decatur, AL</v>
      </c>
      <c r="B5">
        <v>12.8</v>
      </c>
      <c r="C5">
        <v>17.399999999999999</v>
      </c>
      <c r="D5">
        <v>13</v>
      </c>
      <c r="E5">
        <v>63</v>
      </c>
      <c r="F5">
        <f t="shared" si="0"/>
        <v>83</v>
      </c>
      <c r="H5">
        <v>25654</v>
      </c>
      <c r="I5">
        <v>23888</v>
      </c>
      <c r="J5">
        <v>63</v>
      </c>
      <c r="K5">
        <v>6.9</v>
      </c>
      <c r="L5" s="11">
        <f t="shared" si="1"/>
        <v>56.777833221701279</v>
      </c>
      <c r="N5">
        <v>40.4</v>
      </c>
      <c r="O5">
        <v>23.400000000000002</v>
      </c>
      <c r="P5">
        <v>18.099999999999998</v>
      </c>
      <c r="Q5">
        <v>7.1999999999999993</v>
      </c>
      <c r="R5" s="12">
        <f t="shared" si="2"/>
        <v>66.13333333333334</v>
      </c>
      <c r="T5" s="13">
        <v>59831</v>
      </c>
      <c r="U5" s="8">
        <v>0.56000000000000005</v>
      </c>
      <c r="V5">
        <v>0.128</v>
      </c>
      <c r="W5" s="14">
        <f t="shared" si="3"/>
        <v>0</v>
      </c>
      <c r="X5">
        <f t="shared" si="4"/>
        <v>42.857142857142854</v>
      </c>
      <c r="Y5">
        <f t="shared" si="5"/>
        <v>0</v>
      </c>
      <c r="Z5" s="10">
        <f t="shared" si="6"/>
        <v>17.142857142857142</v>
      </c>
      <c r="AB5">
        <v>22.8</v>
      </c>
      <c r="AC5">
        <v>73</v>
      </c>
      <c r="AD5">
        <v>13</v>
      </c>
      <c r="AE5" s="12">
        <f t="shared" si="7"/>
        <v>47.61904761904762</v>
      </c>
      <c r="AF5">
        <v>57938</v>
      </c>
      <c r="AG5">
        <v>0.56000000000000005</v>
      </c>
      <c r="AH5" s="1">
        <v>4.3999999999999997E-2</v>
      </c>
      <c r="AI5" s="1">
        <v>0.127</v>
      </c>
      <c r="AJ5" s="1">
        <v>0.14899999999999999</v>
      </c>
      <c r="AK5" s="1">
        <v>6.6000000000000003E-2</v>
      </c>
      <c r="AL5" s="1">
        <v>0.20200000000000001</v>
      </c>
      <c r="AM5" s="1">
        <v>6.8000000000000005E-2</v>
      </c>
      <c r="AN5" s="1">
        <v>8.2000000000000003E-2</v>
      </c>
      <c r="AO5" s="1">
        <v>4.0000000000000001E-3</v>
      </c>
      <c r="AP5" s="11" cm="1">
        <f t="array" ref="AP5">_xlfn.LET( _xlpm.popRange,$AF$2:$AF$9, _xlpm.empRateRange,$AG$2:$AG$9, _xlpm.sectorRange,AH5:AO5,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AG5/100, _xlpm.empRate_vec, _xlpm.empRateRange/100, _xlpm.empRate_norm, IF(MAX(_xlpm.empRate_vec)-MIN(_xlpm.empRate_vec)&gt;0, (_xlpm.empRate_cur - MIN(_xlpm.empRate_vec)) / (MAX(_xlpm.empRate_vec)-MIN(_xlpm.empRate_vec)), 0), _xlpm.empPop_cur, AF5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81</v>
      </c>
      <c r="AR5" s="10">
        <f t="shared" si="8"/>
        <v>351.6730713169394</v>
      </c>
      <c r="AS5" s="10">
        <f t="shared" si="9"/>
        <v>2</v>
      </c>
    </row>
    <row r="6" spans="1:45" x14ac:dyDescent="0.35">
      <c r="A6" t="str">
        <v>Opelika, AL</v>
      </c>
      <c r="B6">
        <v>15</v>
      </c>
      <c r="C6">
        <v>15.4</v>
      </c>
      <c r="D6">
        <v>9.1999999999999993</v>
      </c>
      <c r="E6">
        <v>68.8</v>
      </c>
      <c r="F6">
        <f t="shared" si="0"/>
        <v>84</v>
      </c>
      <c r="H6">
        <v>14389</v>
      </c>
      <c r="I6">
        <v>13121</v>
      </c>
      <c r="J6">
        <v>68.8</v>
      </c>
      <c r="K6">
        <v>8.7999999999999989</v>
      </c>
      <c r="L6" s="11">
        <f t="shared" si="1"/>
        <v>61.94389756878288</v>
      </c>
      <c r="N6">
        <v>40.200000000000003</v>
      </c>
      <c r="O6">
        <v>22.2</v>
      </c>
      <c r="P6">
        <v>18</v>
      </c>
      <c r="Q6">
        <v>8.2000000000000011</v>
      </c>
      <c r="R6" s="12">
        <f t="shared" si="2"/>
        <v>68.86666666666666</v>
      </c>
      <c r="T6" s="13">
        <v>58739</v>
      </c>
      <c r="U6" s="8">
        <v>0.57699999999999996</v>
      </c>
      <c r="V6">
        <v>0.15</v>
      </c>
      <c r="W6" s="14">
        <f t="shared" si="3"/>
        <v>14.285714285714285</v>
      </c>
      <c r="X6">
        <f t="shared" si="4"/>
        <v>14.285714285714285</v>
      </c>
      <c r="Y6">
        <f t="shared" si="5"/>
        <v>14.285714285714285</v>
      </c>
      <c r="Z6" s="10">
        <f t="shared" si="6"/>
        <v>14.285714285714286</v>
      </c>
      <c r="AB6">
        <v>33.5</v>
      </c>
      <c r="AC6">
        <v>72.899999999999991</v>
      </c>
      <c r="AD6">
        <v>9.1999999999999993</v>
      </c>
      <c r="AE6" s="12">
        <f t="shared" si="7"/>
        <v>19.047619047619047</v>
      </c>
      <c r="AF6">
        <v>30995</v>
      </c>
      <c r="AG6">
        <v>0.57699999999999996</v>
      </c>
      <c r="AH6" s="1">
        <v>3.3000000000000002E-2</v>
      </c>
      <c r="AI6" s="1">
        <v>0.14499999999999999</v>
      </c>
      <c r="AJ6" s="1">
        <v>0.13800000000000001</v>
      </c>
      <c r="AK6" s="1">
        <v>0.155</v>
      </c>
      <c r="AL6" s="1">
        <v>0.16500000000000001</v>
      </c>
      <c r="AM6" s="1">
        <v>8.4000000000000005E-2</v>
      </c>
      <c r="AN6" s="1">
        <v>3.1E-2</v>
      </c>
      <c r="AO6" s="1">
        <v>7.0000000000000001E-3</v>
      </c>
      <c r="AP6" s="11" cm="1">
        <f t="array" ref="AP6">_xlfn.LET( _xlpm.popRange,$AF$2:$AF$9, _xlpm.empRateRange,$AG$2:$AG$9, _xlpm.sectorRange,AH6:AO6,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AG6/100, _xlpm.empRate_vec, _xlpm.empRateRange/100, _xlpm.empRate_norm, IF(MAX(_xlpm.empRate_vec)-MIN(_xlpm.empRate_vec)&gt;0, (_xlpm.empRate_cur - MIN(_xlpm.empRate_vec)) / (MAX(_xlpm.empRate_vec)-MIN(_xlpm.empRate_vec)), 0), _xlpm.empPop_cur, AF6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80.400000000000006</v>
      </c>
      <c r="AR6" s="10">
        <f t="shared" si="8"/>
        <v>328.54389756878288</v>
      </c>
      <c r="AS6" s="10">
        <f t="shared" si="9"/>
        <v>1</v>
      </c>
    </row>
    <row r="7" spans="1:45" x14ac:dyDescent="0.35">
      <c r="A7" t="str">
        <v>Florence, AL</v>
      </c>
      <c r="B7">
        <v>19.3</v>
      </c>
      <c r="C7">
        <v>17.399999999999999</v>
      </c>
      <c r="D7">
        <v>11.799999999999999</v>
      </c>
      <c r="E7">
        <v>50.5</v>
      </c>
      <c r="F7">
        <f t="shared" si="0"/>
        <v>80</v>
      </c>
      <c r="H7">
        <v>19766</v>
      </c>
      <c r="I7">
        <v>17203</v>
      </c>
      <c r="J7">
        <v>50.5</v>
      </c>
      <c r="K7">
        <v>12.9</v>
      </c>
      <c r="L7" s="11">
        <f t="shared" si="1"/>
        <v>59.558564203917939</v>
      </c>
      <c r="N7">
        <v>35.1</v>
      </c>
      <c r="O7">
        <v>19.100000000000001</v>
      </c>
      <c r="P7">
        <v>17.2</v>
      </c>
      <c r="Q7">
        <v>6.6000000000000005</v>
      </c>
      <c r="R7" s="12">
        <f t="shared" si="2"/>
        <v>76.233333333333334</v>
      </c>
      <c r="T7" s="13">
        <v>50396</v>
      </c>
      <c r="U7" s="8">
        <v>0.53200000000000003</v>
      </c>
      <c r="V7">
        <v>0.193</v>
      </c>
      <c r="W7" s="14">
        <f t="shared" si="3"/>
        <v>57.142857142857139</v>
      </c>
      <c r="X7">
        <f t="shared" si="4"/>
        <v>71.428571428571431</v>
      </c>
      <c r="Y7">
        <f t="shared" si="5"/>
        <v>42.857142857142854</v>
      </c>
      <c r="Z7" s="10">
        <f t="shared" si="6"/>
        <v>60</v>
      </c>
      <c r="AB7">
        <v>31.1</v>
      </c>
      <c r="AC7">
        <v>45.7</v>
      </c>
      <c r="AD7">
        <v>11.799999999999999</v>
      </c>
      <c r="AE7" s="12">
        <f t="shared" si="7"/>
        <v>47.619047619047613</v>
      </c>
      <c r="AF7">
        <v>40184</v>
      </c>
      <c r="AG7">
        <v>0.53200000000000003</v>
      </c>
      <c r="AH7" s="1">
        <v>4.1000000000000002E-2</v>
      </c>
      <c r="AI7" s="1">
        <v>0.15</v>
      </c>
      <c r="AJ7" s="1">
        <v>0.152</v>
      </c>
      <c r="AK7" s="1">
        <v>9.9000000000000005E-2</v>
      </c>
      <c r="AL7" s="1">
        <v>0.121</v>
      </c>
      <c r="AM7" s="1">
        <v>0.107</v>
      </c>
      <c r="AN7" s="1">
        <v>5.3999999999999999E-2</v>
      </c>
      <c r="AO7" s="1">
        <v>2E-3</v>
      </c>
      <c r="AP7" s="11" cm="1">
        <f t="array" ref="AP7">_xlfn.LET( _xlpm.popRange,$AF$2:$AF$9, _xlpm.empRateRange,$AG$2:$AG$9, _xlpm.sectorRange,AH7:AO7,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AG7/100, _xlpm.empRate_vec, _xlpm.empRateRange/100, _xlpm.empRate_norm, IF(MAX(_xlpm.empRate_vec)-MIN(_xlpm.empRate_vec)&gt;0, (_xlpm.empRate_cur - MIN(_xlpm.empRate_vec)) / (MAX(_xlpm.empRate_vec)-MIN(_xlpm.empRate_vec)), 0), _xlpm.empPop_cur, AF7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73.599999999999994</v>
      </c>
      <c r="AR7" s="10">
        <f t="shared" si="8"/>
        <v>397.01094515629882</v>
      </c>
      <c r="AS7" s="10">
        <f t="shared" si="9"/>
        <v>5</v>
      </c>
    </row>
    <row r="8" spans="1:45" x14ac:dyDescent="0.35">
      <c r="A8" t="str">
        <v>Albertville, AL</v>
      </c>
      <c r="B8">
        <v>17.100000000000001</v>
      </c>
      <c r="C8">
        <v>13.3</v>
      </c>
      <c r="D8">
        <v>13.900000000000002</v>
      </c>
      <c r="E8">
        <v>68.899999999999991</v>
      </c>
      <c r="F8">
        <f t="shared" si="0"/>
        <v>83</v>
      </c>
      <c r="H8">
        <v>8227</v>
      </c>
      <c r="I8">
        <v>7555</v>
      </c>
      <c r="J8">
        <v>68.899999999999991</v>
      </c>
      <c r="K8">
        <v>8.2000000000000011</v>
      </c>
      <c r="L8" s="11">
        <f t="shared" si="1"/>
        <v>61.129771674387804</v>
      </c>
      <c r="N8">
        <v>32.200000000000003</v>
      </c>
      <c r="O8">
        <v>30.7</v>
      </c>
      <c r="P8">
        <v>14.000000000000002</v>
      </c>
      <c r="Q8">
        <v>4.7</v>
      </c>
      <c r="R8" s="12">
        <f t="shared" si="2"/>
        <v>58.70000000000001</v>
      </c>
      <c r="T8" s="13">
        <v>57103</v>
      </c>
      <c r="U8" s="8">
        <v>0.56699999999999995</v>
      </c>
      <c r="V8">
        <v>0.17100000000000001</v>
      </c>
      <c r="W8" s="14">
        <f t="shared" si="3"/>
        <v>28.571428571428569</v>
      </c>
      <c r="X8">
        <f t="shared" si="4"/>
        <v>28.571428571428569</v>
      </c>
      <c r="Y8">
        <f t="shared" si="5"/>
        <v>28.571428571428569</v>
      </c>
      <c r="Z8" s="10">
        <f t="shared" si="6"/>
        <v>28.571428571428573</v>
      </c>
      <c r="AB8">
        <v>20.9</v>
      </c>
      <c r="AC8">
        <v>78.600000000000009</v>
      </c>
      <c r="AD8">
        <v>13.900000000000002</v>
      </c>
      <c r="AE8" s="12">
        <f t="shared" si="7"/>
        <v>57.142857142857139</v>
      </c>
      <c r="AF8">
        <v>22386</v>
      </c>
      <c r="AG8">
        <v>0.56699999999999995</v>
      </c>
      <c r="AH8" s="1">
        <v>2.5000000000000001E-2</v>
      </c>
      <c r="AI8" s="1">
        <v>0.11</v>
      </c>
      <c r="AJ8" s="1">
        <v>0.13400000000000001</v>
      </c>
      <c r="AK8" s="1">
        <v>5.8999999999999997E-2</v>
      </c>
      <c r="AL8" s="1">
        <v>0.223</v>
      </c>
      <c r="AM8" s="1">
        <v>5.5E-2</v>
      </c>
      <c r="AN8" s="1">
        <v>0.08</v>
      </c>
      <c r="AO8" s="1">
        <v>2.5999999999999999E-2</v>
      </c>
      <c r="AP8" s="11" cm="1">
        <f t="array" ref="AP8">_xlfn.LET( _xlpm.popRange,$AF$2:$AF$9, _xlpm.empRateRange,$AG$2:$AG$9, _xlpm.sectorRange,AH8:AO8,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AG8/100, _xlpm.empRate_vec, _xlpm.empRateRange/100, _xlpm.empRate_norm, IF(MAX(_xlpm.empRate_vec)-MIN(_xlpm.empRate_vec)&gt;0, (_xlpm.empRate_cur - MIN(_xlpm.empRate_vec)) / (MAX(_xlpm.empRate_vec)-MIN(_xlpm.empRate_vec)), 0), _xlpm.empPop_cur, AF8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76.8</v>
      </c>
      <c r="AR8" s="10">
        <f t="shared" si="8"/>
        <v>365.34405738867355</v>
      </c>
      <c r="AS8" s="10">
        <f t="shared" si="9"/>
        <v>3</v>
      </c>
    </row>
    <row r="9" spans="1:45" x14ac:dyDescent="0.35">
      <c r="A9" t="str">
        <v>Birmingham, AL</v>
      </c>
      <c r="B9">
        <v>22.3</v>
      </c>
      <c r="C9">
        <v>17.5</v>
      </c>
      <c r="D9">
        <v>13.100000000000001</v>
      </c>
      <c r="E9">
        <v>46.800000000000004</v>
      </c>
      <c r="F9">
        <f t="shared" si="0"/>
        <v>78</v>
      </c>
      <c r="H9">
        <v>110757</v>
      </c>
      <c r="I9">
        <v>91130</v>
      </c>
      <c r="J9">
        <v>46.800000000000004</v>
      </c>
      <c r="K9">
        <v>17.8</v>
      </c>
      <c r="L9" s="11">
        <f t="shared" si="1"/>
        <v>63.730000000000004</v>
      </c>
      <c r="N9">
        <v>37.200000000000003</v>
      </c>
      <c r="O9">
        <v>18</v>
      </c>
      <c r="P9">
        <v>19.100000000000001</v>
      </c>
      <c r="Q9">
        <v>3.6999999999999997</v>
      </c>
      <c r="R9" s="12">
        <f t="shared" si="2"/>
        <v>68.433333333333323</v>
      </c>
      <c r="T9" s="13">
        <v>51355</v>
      </c>
      <c r="U9" s="8">
        <v>0.58299999999999996</v>
      </c>
      <c r="V9">
        <v>0.223</v>
      </c>
      <c r="W9" s="14">
        <f t="shared" si="3"/>
        <v>42.857142857142854</v>
      </c>
      <c r="X9">
        <f t="shared" si="4"/>
        <v>0</v>
      </c>
      <c r="Y9">
        <f t="shared" si="5"/>
        <v>71.428571428571431</v>
      </c>
      <c r="Z9" s="10">
        <f t="shared" si="6"/>
        <v>31.428571428571431</v>
      </c>
      <c r="AB9">
        <v>33</v>
      </c>
      <c r="AC9">
        <v>56.599999999999994</v>
      </c>
      <c r="AD9">
        <v>13.100000000000001</v>
      </c>
      <c r="AE9" s="12">
        <f t="shared" si="7"/>
        <v>52.38095238095238</v>
      </c>
      <c r="AF9">
        <v>200733</v>
      </c>
      <c r="AG9">
        <v>0.58299999999999996</v>
      </c>
      <c r="AH9" s="1">
        <v>4.1000000000000002E-2</v>
      </c>
      <c r="AI9" s="1">
        <v>0.17599999999999999</v>
      </c>
      <c r="AJ9" s="1">
        <v>0.108</v>
      </c>
      <c r="AK9" s="1">
        <v>9.4E-2</v>
      </c>
      <c r="AL9" s="1">
        <v>8.3000000000000004E-2</v>
      </c>
      <c r="AM9" s="1">
        <v>0.10299999999999999</v>
      </c>
      <c r="AN9" s="1">
        <v>4.2000000000000003E-2</v>
      </c>
      <c r="AO9" s="1">
        <v>1E-3</v>
      </c>
      <c r="AP9" s="11" cm="1">
        <f t="array" ref="AP9">_xlfn.LET( _xlpm.popRange,$AF$2:$AF$9, _xlpm.empRateRange,$AG$2:$AG$9, _xlpm.sectorRange,AH9:AO9,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AG9/100, _xlpm.empRate_vec, _xlpm.empRateRange/100, _xlpm.empRate_norm, IF(MAX(_xlpm.empRate_vec)-MIN(_xlpm.empRate_vec)&gt;0, (_xlpm.empRate_cur - MIN(_xlpm.empRate_vec)) / (MAX(_xlpm.empRate_vec)-MIN(_xlpm.empRate_vec)), 0), _xlpm.empPop_cur, AF9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93.4</v>
      </c>
      <c r="AR9" s="10">
        <f t="shared" si="8"/>
        <v>387.37285714285713</v>
      </c>
      <c r="AS9" s="10">
        <f t="shared" si="9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3405-2A37-4B7C-8270-A40020B287B5}">
  <dimension ref="A1:B9"/>
  <sheetViews>
    <sheetView workbookViewId="0">
      <selection activeCell="B9" sqref="B9"/>
    </sheetView>
  </sheetViews>
  <sheetFormatPr defaultRowHeight="14.5" x14ac:dyDescent="0.35"/>
  <cols>
    <col min="1" max="1" width="12" customWidth="1"/>
    <col min="2" max="2" width="16.81640625" bestFit="1" customWidth="1"/>
  </cols>
  <sheetData>
    <row r="1" spans="1:2" x14ac:dyDescent="0.35">
      <c r="A1" t="str" cm="1">
        <f t="array" ref="A1:A9">Sheet2!A1:A9</f>
        <v>Urban Center</v>
      </c>
      <c r="B1" t="str" cm="1">
        <f t="array" ref="B1:B9">Sheet2!AS1:AS9</f>
        <v>Potentiality Ranking</v>
      </c>
    </row>
    <row r="2" spans="1:2" x14ac:dyDescent="0.35">
      <c r="A2" t="str">
        <v>Gadsden, AL</v>
      </c>
      <c r="B2">
        <v>8</v>
      </c>
    </row>
    <row r="3" spans="1:2" x14ac:dyDescent="0.35">
      <c r="A3" t="str">
        <v>Anniston, AL</v>
      </c>
      <c r="B3">
        <v>7</v>
      </c>
    </row>
    <row r="4" spans="1:2" x14ac:dyDescent="0.35">
      <c r="A4" t="str">
        <v>Phenix City</v>
      </c>
      <c r="B4">
        <v>6</v>
      </c>
    </row>
    <row r="5" spans="1:2" x14ac:dyDescent="0.35">
      <c r="A5" t="str">
        <v>Decatur, AL</v>
      </c>
      <c r="B5">
        <v>2</v>
      </c>
    </row>
    <row r="6" spans="1:2" x14ac:dyDescent="0.35">
      <c r="A6" t="str">
        <v>Opelika, AL</v>
      </c>
      <c r="B6">
        <v>1</v>
      </c>
    </row>
    <row r="7" spans="1:2" x14ac:dyDescent="0.35">
      <c r="A7" t="str">
        <v>Florence, AL</v>
      </c>
      <c r="B7">
        <v>5</v>
      </c>
    </row>
    <row r="8" spans="1:2" x14ac:dyDescent="0.35">
      <c r="A8" t="str">
        <v>Albertville, AL</v>
      </c>
      <c r="B8">
        <v>3</v>
      </c>
    </row>
    <row r="9" spans="1:2" x14ac:dyDescent="0.35">
      <c r="A9" t="str">
        <v>Birmingham, AL</v>
      </c>
      <c r="B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DDF9-79D8-4B76-8BDC-7387990D80EA}">
  <dimension ref="A1:C9"/>
  <sheetViews>
    <sheetView tabSelected="1" workbookViewId="0">
      <selection activeCell="P13" sqref="P13"/>
    </sheetView>
  </sheetViews>
  <sheetFormatPr defaultRowHeight="14.5" x14ac:dyDescent="0.35"/>
  <cols>
    <col min="1" max="1" width="12.90625" customWidth="1"/>
    <col min="2" max="2" width="11.54296875" customWidth="1"/>
    <col min="3" max="3" width="17.453125" customWidth="1"/>
  </cols>
  <sheetData>
    <row r="1" spans="1:3" x14ac:dyDescent="0.35">
      <c r="A1" t="str" cm="1">
        <f t="array" ref="A1:A9">_xlfn.ANCHORARRAY(Sheet3!A1)</f>
        <v>Urban Center</v>
      </c>
      <c r="B1" t="str">
        <f>Sheet2!AR1</f>
        <v>Viability Raw Score</v>
      </c>
      <c r="C1" t="str">
        <f>Sheet3!B1</f>
        <v>Potentiality Ranking</v>
      </c>
    </row>
    <row r="2" spans="1:3" x14ac:dyDescent="0.35">
      <c r="A2" t="str">
        <v>Gadsden, AL</v>
      </c>
      <c r="B2" s="10" cm="1">
        <f t="array" ref="B2:B9">Sheet2!AR2:AR9-300</f>
        <v>136.00928571428574</v>
      </c>
      <c r="C2" cm="1">
        <f t="array" ref="C2:C9">Sheet3!B2:B9-1</f>
        <v>7</v>
      </c>
    </row>
    <row r="3" spans="1:3" x14ac:dyDescent="0.35">
      <c r="A3" t="str">
        <v>Anniston, AL</v>
      </c>
      <c r="B3">
        <v>113.49214285714288</v>
      </c>
      <c r="C3">
        <v>6</v>
      </c>
    </row>
    <row r="4" spans="1:3" x14ac:dyDescent="0.35">
      <c r="A4" t="str">
        <v>Phenix City</v>
      </c>
      <c r="B4">
        <v>107.95822085746852</v>
      </c>
      <c r="C4">
        <v>5</v>
      </c>
    </row>
    <row r="5" spans="1:3" x14ac:dyDescent="0.35">
      <c r="A5" t="str">
        <v>Decatur, AL</v>
      </c>
      <c r="B5">
        <v>51.673071316939399</v>
      </c>
      <c r="C5">
        <v>1</v>
      </c>
    </row>
    <row r="6" spans="1:3" x14ac:dyDescent="0.35">
      <c r="A6" t="str">
        <v>Opelika, AL</v>
      </c>
      <c r="B6">
        <v>28.543897568782882</v>
      </c>
      <c r="C6">
        <v>0</v>
      </c>
    </row>
    <row r="7" spans="1:3" x14ac:dyDescent="0.35">
      <c r="A7" t="str">
        <v>Florence, AL</v>
      </c>
      <c r="B7">
        <v>97.010945156298817</v>
      </c>
      <c r="C7">
        <v>4</v>
      </c>
    </row>
    <row r="8" spans="1:3" x14ac:dyDescent="0.35">
      <c r="A8" t="str">
        <v>Albertville, AL</v>
      </c>
      <c r="B8">
        <v>65.344057388673548</v>
      </c>
      <c r="C8">
        <v>2</v>
      </c>
    </row>
    <row r="9" spans="1:3" x14ac:dyDescent="0.35">
      <c r="A9" t="str">
        <v>Birmingham, AL</v>
      </c>
      <c r="B9">
        <v>87.372857142857129</v>
      </c>
      <c r="C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Loehr, Connor J.</dc:creator>
  <cp:lastModifiedBy>Loehr, Connor J.</cp:lastModifiedBy>
  <dcterms:created xsi:type="dcterms:W3CDTF">2025-11-26T10:50:17Z</dcterms:created>
  <dcterms:modified xsi:type="dcterms:W3CDTF">2025-12-09T02:33:36Z</dcterms:modified>
</cp:coreProperties>
</file>