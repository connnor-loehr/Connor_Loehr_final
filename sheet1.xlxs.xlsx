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nor Loehr\Documents\GitHub\Connor_Loehr_final\"/>
    </mc:Choice>
  </mc:AlternateContent>
  <xr:revisionPtr revIDLastSave="0" documentId="13_ncr:1_{DE2664D4-D829-495A-8F8D-DDE2B4A3344C}" xr6:coauthVersionLast="47" xr6:coauthVersionMax="47" xr10:uidLastSave="{00000000-0000-0000-0000-000000000000}"/>
  <bookViews>
    <workbookView xWindow="-110" yWindow="-110" windowWidth="19420" windowHeight="10300" tabRatio="761" firstSheet="2" activeTab="8" xr2:uid="{A203EA92-5CFD-46F9-863D-B05B7B4DD682}"/>
  </bookViews>
  <sheets>
    <sheet name="Sheet1" sheetId="1" r:id="rId1"/>
    <sheet name="Sheet2" sheetId="2" r:id="rId2"/>
    <sheet name="Sheet4" sheetId="4" r:id="rId3"/>
    <sheet name="Sheet3" sheetId="3" r:id="rId4"/>
    <sheet name="Sheet5" sheetId="5" r:id="rId5"/>
    <sheet name="Raw" sheetId="8" r:id="rId6"/>
    <sheet name="Vulnerability and Equity" sheetId="16" r:id="rId7"/>
    <sheet name="Housing Stability" sheetId="15" r:id="rId8"/>
    <sheet name="Human Capital and Access" sheetId="11" r:id="rId9"/>
    <sheet name="Demographic Resilience" sheetId="14" r:id="rId10"/>
    <sheet name="Economic Strength2" sheetId="13" r:id="rId11"/>
    <sheet name="Economic Diversity" sheetId="9" r:id="rId12"/>
  </sheets>
  <definedNames>
    <definedName name="_xlnm._FilterDatabase" localSheetId="0" hidden="1">Sheet1!$A$1:$O$74</definedName>
  </definedNames>
  <calcPr calcId="191029"/>
  <pivotCaches>
    <pivotCache cacheId="22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9" l="1" a="1"/>
  <c r="L2" i="9" s="1"/>
  <c r="P2" i="13"/>
  <c r="O2" i="13"/>
  <c r="N2" i="13"/>
  <c r="M2" i="13"/>
  <c r="F2" i="14"/>
  <c r="E2" i="11"/>
  <c r="F2" i="15"/>
  <c r="G2" i="16"/>
  <c r="E3" i="11" l="1"/>
  <c r="E4" i="11"/>
  <c r="E5" i="11"/>
  <c r="E6" i="11"/>
  <c r="E7" i="11"/>
  <c r="E8" i="11"/>
  <c r="E9" i="11"/>
  <c r="L3" i="9" a="1"/>
  <c r="L3" i="9" s="1"/>
  <c r="L4" i="9" a="1"/>
  <c r="L4" i="9" s="1"/>
  <c r="L5" i="9" a="1"/>
  <c r="L5" i="9" s="1"/>
  <c r="L6" i="9" a="1"/>
  <c r="L6" i="9" s="1"/>
  <c r="L7" i="9" a="1"/>
  <c r="L7" i="9" s="1"/>
  <c r="L8" i="9" a="1"/>
  <c r="L8" i="9" s="1"/>
  <c r="L9" i="9" a="1"/>
  <c r="L9" i="9" s="1"/>
  <c r="M9" i="9" a="1"/>
  <c r="M9" i="9" s="1"/>
  <c r="M3" i="9" a="1"/>
  <c r="M3" i="9" s="1"/>
  <c r="M4" i="9" a="1"/>
  <c r="M4" i="9" s="1"/>
  <c r="M5" i="9" a="1"/>
  <c r="M5" i="9" s="1"/>
  <c r="M6" i="9" a="1"/>
  <c r="M6" i="9" s="1"/>
  <c r="M7" i="9" a="1"/>
  <c r="M7" i="9" s="1"/>
  <c r="M8" i="9" a="1"/>
  <c r="M8" i="9" s="1"/>
  <c r="M2" i="9" a="1"/>
  <c r="M2" i="9" s="1"/>
  <c r="G3" i="16"/>
  <c r="G4" i="16"/>
  <c r="G5" i="16"/>
  <c r="G6" i="16"/>
  <c r="G7" i="16"/>
  <c r="G8" i="16"/>
  <c r="G9" i="16"/>
  <c r="F3" i="15"/>
  <c r="F4" i="15"/>
  <c r="F5" i="15"/>
  <c r="F6" i="15"/>
  <c r="F7" i="15"/>
  <c r="F8" i="15"/>
  <c r="F9" i="15"/>
  <c r="F3" i="14"/>
  <c r="F4" i="14"/>
  <c r="F5" i="14"/>
  <c r="F6" i="14"/>
  <c r="F7" i="14"/>
  <c r="F8" i="14"/>
  <c r="F9" i="14"/>
  <c r="O3" i="13"/>
  <c r="O4" i="13"/>
  <c r="O5" i="13"/>
  <c r="O6" i="13"/>
  <c r="O7" i="13"/>
  <c r="O8" i="13"/>
  <c r="O9" i="13"/>
  <c r="N3" i="13"/>
  <c r="N4" i="13"/>
  <c r="N5" i="13"/>
  <c r="N6" i="13"/>
  <c r="N7" i="13"/>
  <c r="N8" i="13"/>
  <c r="N9" i="13"/>
  <c r="M3" i="13"/>
  <c r="M4" i="13"/>
  <c r="M5" i="13"/>
  <c r="P5" i="13" s="1"/>
  <c r="M6" i="13"/>
  <c r="P6" i="13" s="1"/>
  <c r="M7" i="13"/>
  <c r="M8" i="13"/>
  <c r="M9" i="13"/>
  <c r="P9" i="13" s="1"/>
  <c r="K3" i="13"/>
  <c r="K4" i="13"/>
  <c r="K5" i="13"/>
  <c r="K6" i="13"/>
  <c r="K7" i="13"/>
  <c r="K8" i="13"/>
  <c r="K9" i="13"/>
  <c r="K2" i="13"/>
  <c r="J3" i="13"/>
  <c r="J4" i="13"/>
  <c r="J5" i="13"/>
  <c r="J6" i="13"/>
  <c r="J7" i="13"/>
  <c r="J8" i="13"/>
  <c r="J9" i="13"/>
  <c r="J2" i="13"/>
  <c r="I3" i="13"/>
  <c r="I4" i="13"/>
  <c r="I5" i="13"/>
  <c r="I6" i="13"/>
  <c r="I7" i="13"/>
  <c r="I8" i="13"/>
  <c r="I9" i="13"/>
  <c r="I2" i="13"/>
  <c r="G3" i="13"/>
  <c r="G4" i="13"/>
  <c r="G5" i="13"/>
  <c r="G6" i="13"/>
  <c r="G7" i="13"/>
  <c r="G8" i="13"/>
  <c r="G9" i="13"/>
  <c r="G2" i="13"/>
  <c r="F3" i="13"/>
  <c r="F4" i="13"/>
  <c r="F5" i="13"/>
  <c r="F6" i="13"/>
  <c r="F7" i="13"/>
  <c r="F8" i="13"/>
  <c r="F9" i="13"/>
  <c r="F2" i="13"/>
  <c r="E3" i="13"/>
  <c r="E4" i="13"/>
  <c r="E5" i="13"/>
  <c r="E6" i="13"/>
  <c r="E7" i="13"/>
  <c r="E8" i="13"/>
  <c r="E9" i="13"/>
  <c r="E2" i="13"/>
  <c r="C3" i="2"/>
  <c r="C4" i="2"/>
  <c r="C5" i="2"/>
  <c r="C2" i="2"/>
  <c r="P7" i="13" l="1"/>
  <c r="P4" i="13"/>
  <c r="P8" i="13"/>
  <c r="P3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<sst xmlns="http://schemas.openxmlformats.org/spreadsheetml/2006/main" count="1492" uniqueCount="185">
  <si>
    <t>Complexity</t>
  </si>
  <si>
    <t>Volume</t>
  </si>
  <si>
    <t>Pediatric</t>
  </si>
  <si>
    <t>Young adult</t>
  </si>
  <si>
    <t>Middle aged</t>
  </si>
  <si>
    <t>Over 65</t>
  </si>
  <si>
    <t>Family Medicine</t>
  </si>
  <si>
    <t>Low</t>
  </si>
  <si>
    <t>High</t>
  </si>
  <si>
    <t>Internal Medicine</t>
  </si>
  <si>
    <t>Medium</t>
  </si>
  <si>
    <t>Pediatrics</t>
  </si>
  <si>
    <t>Emergency Medicine</t>
  </si>
  <si>
    <t>Urgent Care</t>
  </si>
  <si>
    <t>Hospital Medicine</t>
  </si>
  <si>
    <t>General Surgery</t>
  </si>
  <si>
    <t>Trauma Surgery</t>
  </si>
  <si>
    <t>Vascular Surgery</t>
  </si>
  <si>
    <t>Cardiothoracic Surgery</t>
  </si>
  <si>
    <t>Neurosurgery</t>
  </si>
  <si>
    <t>Orthopedic Surgery</t>
  </si>
  <si>
    <t>Spine Surgery</t>
  </si>
  <si>
    <t>Plastic Surgery</t>
  </si>
  <si>
    <t>Colorectal Surgery</t>
  </si>
  <si>
    <t>Otolaryngology ENT</t>
  </si>
  <si>
    <t>Ophthalmology</t>
  </si>
  <si>
    <t>Dermatology</t>
  </si>
  <si>
    <t>Obstetrics Gynecology</t>
  </si>
  <si>
    <t>Maternal Fetal Medicine</t>
  </si>
  <si>
    <t>Reproductive Endocrinology</t>
  </si>
  <si>
    <t>Urology</t>
  </si>
  <si>
    <t>Nephrology</t>
  </si>
  <si>
    <t>Hematology</t>
  </si>
  <si>
    <t>Medical Oncology</t>
  </si>
  <si>
    <t>Radiation Oncology</t>
  </si>
  <si>
    <t>Cardiology</t>
  </si>
  <si>
    <t>Interventional Cardiology</t>
  </si>
  <si>
    <t>Pulmonology</t>
  </si>
  <si>
    <t>Critical Care Medicine</t>
  </si>
  <si>
    <t>Infectious Diseases</t>
  </si>
  <si>
    <t>Rheumatology</t>
  </si>
  <si>
    <t>Endocrinology</t>
  </si>
  <si>
    <t>Gastroenterology</t>
  </si>
  <si>
    <t>Hepatology</t>
  </si>
  <si>
    <t>Interventional Radiology</t>
  </si>
  <si>
    <t>Diagnostic Radiology</t>
  </si>
  <si>
    <t>Allergy Immunology</t>
  </si>
  <si>
    <t>Pain Medicine</t>
  </si>
  <si>
    <t>Child and Adolescent Psychiatry</t>
  </si>
  <si>
    <t>Geriatric Medicine</t>
  </si>
  <si>
    <t>Nuclear Medicine</t>
  </si>
  <si>
    <t>Medical Genetics</t>
  </si>
  <si>
    <t>Neonatology</t>
  </si>
  <si>
    <t>Pediatric Cardiology</t>
  </si>
  <si>
    <t>Pediatric Surgery</t>
  </si>
  <si>
    <t>Sports Medicine</t>
  </si>
  <si>
    <t>Occupational Medicine</t>
  </si>
  <si>
    <t>Preventive Medicine Public Health</t>
  </si>
  <si>
    <t>Addiction Medicine</t>
  </si>
  <si>
    <t>Sleep Medicine</t>
  </si>
  <si>
    <t>Palliative Care Hospice</t>
  </si>
  <si>
    <t>Transplant Surgery</t>
  </si>
  <si>
    <t>Transplant Medicine</t>
  </si>
  <si>
    <t>Oral Maxillofacial Surgery</t>
  </si>
  <si>
    <t>EMS Prehospital Medicine</t>
  </si>
  <si>
    <t>Hyperbaric Medicine</t>
  </si>
  <si>
    <t>Military Medicine</t>
  </si>
  <si>
    <t>Forensic Medicine</t>
  </si>
  <si>
    <t>Cosmetic Medicine</t>
  </si>
  <si>
    <t>Pediatric Emergency Medicine</t>
  </si>
  <si>
    <t>Specialty</t>
  </si>
  <si>
    <t>Military‑aged</t>
  </si>
  <si>
    <t>RAHC Capability</t>
  </si>
  <si>
    <t>Yes</t>
  </si>
  <si>
    <t>Optometry</t>
  </si>
  <si>
    <t>Audiology</t>
  </si>
  <si>
    <t>Neurology</t>
  </si>
  <si>
    <t>Chiropractic</t>
  </si>
  <si>
    <t>Physical Therapy (PT)</t>
  </si>
  <si>
    <t>Nutrition Care / Dietitian</t>
  </si>
  <si>
    <t>Health Education / Health Promotion</t>
  </si>
  <si>
    <t>No</t>
  </si>
  <si>
    <t>Lawton Capability</t>
  </si>
  <si>
    <t>Wichitaw Falls Capability</t>
  </si>
  <si>
    <t>Duncan Capability</t>
  </si>
  <si>
    <t>Limited</t>
  </si>
  <si>
    <t>Pathology Cytology</t>
  </si>
  <si>
    <t>Laboratory Tech</t>
  </si>
  <si>
    <t>Physical Medicine</t>
  </si>
  <si>
    <t>Psychiatry Outpatient</t>
  </si>
  <si>
    <t>Routine</t>
  </si>
  <si>
    <t>Specialized</t>
  </si>
  <si>
    <t>Complex</t>
  </si>
  <si>
    <t>Highly Specialized</t>
  </si>
  <si>
    <t>Lawton</t>
  </si>
  <si>
    <t>Wichita</t>
  </si>
  <si>
    <t>Ardmore</t>
  </si>
  <si>
    <t>OKC</t>
  </si>
  <si>
    <t>Duncan</t>
  </si>
  <si>
    <t>Altus</t>
  </si>
  <si>
    <t>Node</t>
  </si>
  <si>
    <t>Catchment pop est</t>
  </si>
  <si>
    <t>TRICARE density</t>
  </si>
  <si>
    <t>Medicare 65+ density</t>
  </si>
  <si>
    <t>Beds (qualitative)</t>
  </si>
  <si>
    <t>ICU capacity</t>
  </si>
  <si>
    <t>Trauma level</t>
  </si>
  <si>
    <t>Cath lab</t>
  </si>
  <si>
    <t>Oncology / Radiation</t>
  </si>
  <si>
    <t>Behavioral health</t>
  </si>
  <si>
    <t>Key gap highlights</t>
  </si>
  <si>
    <t>Small‑medium</t>
  </si>
  <si>
    <t>Outpatient only</t>
  </si>
  <si>
    <t>Tertiary transfer reliance</t>
  </si>
  <si>
    <t>Moderate</t>
  </si>
  <si>
    <t>High TRICARE demand; specialty visitation gaps</t>
  </si>
  <si>
    <t>Small</t>
  </si>
  <si>
    <t>Limited specialty breadth; transport dependency</t>
  </si>
  <si>
    <t>Similar to Duncan; limited tertiary</t>
  </si>
  <si>
    <t>Wichita Falls</t>
  </si>
  <si>
    <t>Medium‑large</t>
  </si>
  <si>
    <t>Medium‑High</t>
  </si>
  <si>
    <t>Level II</t>
  </si>
  <si>
    <t>Yes/visiting</t>
  </si>
  <si>
    <t>Robust</t>
  </si>
  <si>
    <t>Regional tertiary hub; accepts transfers</t>
  </si>
  <si>
    <t>Oklahoma City</t>
  </si>
  <si>
    <t>Large</t>
  </si>
  <si>
    <t>Level I regional</t>
  </si>
  <si>
    <t>Yes (comprehensive)</t>
  </si>
  <si>
    <t>Comprehensive</t>
  </si>
  <si>
    <t>Major tertiary and specialty center</t>
  </si>
  <si>
    <t>Count of Node</t>
  </si>
  <si>
    <t>Catchment pop</t>
  </si>
  <si>
    <t>TRICARE %</t>
  </si>
  <si>
    <t>Medicare 65+ %</t>
  </si>
  <si>
    <t>Staffed beds</t>
  </si>
  <si>
    <t>Staffed ICU beds</t>
  </si>
  <si>
    <t>ORs (functional)</t>
  </si>
  <si>
    <t>Average</t>
  </si>
  <si>
    <t>RAHC</t>
  </si>
  <si>
    <t>Aviation Medicine</t>
  </si>
  <si>
    <t>Urban Center</t>
  </si>
  <si>
    <t>Population</t>
  </si>
  <si>
    <t>Employment</t>
  </si>
  <si>
    <t>Households</t>
  </si>
  <si>
    <t>Housing Units</t>
  </si>
  <si>
    <t>Median Age</t>
  </si>
  <si>
    <t>Poverty</t>
  </si>
  <si>
    <t>Ada</t>
  </si>
  <si>
    <t>Chickasha</t>
  </si>
  <si>
    <t>Area square miles</t>
  </si>
  <si>
    <t>Employment %</t>
  </si>
  <si>
    <t>Median Household Income $</t>
  </si>
  <si>
    <t>Bachelors Degree %</t>
  </si>
  <si>
    <t>Health Insurance Gap %</t>
  </si>
  <si>
    <t>65 and Older %</t>
  </si>
  <si>
    <t>Veterans %</t>
  </si>
  <si>
    <t>Median Income $</t>
  </si>
  <si>
    <t>Poverty %</t>
  </si>
  <si>
    <t>School Enrolled %</t>
  </si>
  <si>
    <t>Housing Inventory Vacancy $</t>
  </si>
  <si>
    <t>Home Ownership %</t>
  </si>
  <si>
    <t>Disabled Population %</t>
  </si>
  <si>
    <t>Under 18 %</t>
  </si>
  <si>
    <t>Government Employed %</t>
  </si>
  <si>
    <t>Healthcare Employed %</t>
  </si>
  <si>
    <t>Education Employed %</t>
  </si>
  <si>
    <t>Retail Employed %</t>
  </si>
  <si>
    <t>Manufacturing Employed %</t>
  </si>
  <si>
    <t>Hospitality Employed %</t>
  </si>
  <si>
    <t>Construction Employed %</t>
  </si>
  <si>
    <t>Agriculture Employed %</t>
  </si>
  <si>
    <t>Entropy Score. Higher = more evenly distributed employment across the eight sectors.</t>
  </si>
  <si>
    <t>Economic Strength</t>
  </si>
  <si>
    <t>Median Income Ranked Score</t>
  </si>
  <si>
    <t>Employment Rate Ranked Score</t>
  </si>
  <si>
    <t>Poverty Rate Ranked Score</t>
  </si>
  <si>
    <t>Human Capital and Access</t>
  </si>
  <si>
    <t>Income</t>
  </si>
  <si>
    <t>Demographic Resilience</t>
  </si>
  <si>
    <t>Housing Stability</t>
  </si>
  <si>
    <t>Vulnerability and Equity</t>
  </si>
  <si>
    <t>Chickasha Capability</t>
  </si>
  <si>
    <t>Ardmore Capability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</si>
</sst>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%"/>
    <numFmt numFmtId="165" formatCode="0.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1" fontId="0" fillId="0" borderId="0" xfId="0" applyNumberFormat="1"/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vertical="center" wrapText="1"/>
    </xf>
    <xf numFmtId="1" fontId="3" fillId="0" borderId="0" xfId="0" applyNumberFormat="1" applyFont="1"/>
    <xf numFmtId="0" fontId="3" fillId="0" borderId="0" xfId="0" pivotButton="1" applyFont="1"/>
    <xf numFmtId="9" fontId="3" fillId="0" borderId="0" xfId="0" applyNumberFormat="1" applyFont="1" applyAlignment="1">
      <alignment vertical="center" wrapText="1"/>
    </xf>
    <xf numFmtId="3" fontId="3" fillId="0" borderId="0" xfId="0" applyNumberFormat="1" applyFont="1" applyAlignment="1">
      <alignment vertical="center" wrapText="1"/>
    </xf>
    <xf numFmtId="3" fontId="0" fillId="0" borderId="0" xfId="0" applyNumberFormat="1"/>
    <xf numFmtId="164" fontId="0" fillId="0" borderId="0" xfId="2" applyNumberFormat="1" applyFont="1"/>
    <xf numFmtId="44" fontId="0" fillId="0" borderId="0" xfId="1" applyFont="1"/>
    <xf numFmtId="2" fontId="0" fillId="0" borderId="0" xfId="2" applyNumberFormat="1" applyFont="1"/>
    <xf numFmtId="165" fontId="0" fillId="0" borderId="0" xfId="2" applyNumberFormat="1" applyFont="1"/>
    <xf numFmtId="165" fontId="0" fillId="0" borderId="0" xfId="0" applyNumberFormat="1"/>
    <xf numFmtId="1" fontId="0" fillId="0" borderId="0" xfId="2" applyNumberFormat="1" applyFont="1"/>
    <xf numFmtId="2" fontId="0" fillId="0" borderId="0" xfId="1" applyNumberFormat="1" applyFont="1"/>
    <xf numFmtId="1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</cellXfs>
  <cellStyles count="3">
    <cellStyle name="Currency" xfId="1" builtinId="4"/>
    <cellStyle name="Normal" xfId="0" builtinId="0"/>
    <cellStyle name="Percent" xfId="2" builtinId="5"/>
  </cellStyles>
  <dxfs count="5"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Reynolds' COP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RAHC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58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11-4C81-AB2B-14B5C37EA14E}"/>
              </c:ext>
            </c:extLst>
          </c:dPt>
          <c:dPt>
            <c:idx val="1"/>
            <c:bubble3D val="0"/>
            <c:spPr>
              <a:solidFill>
                <a:schemeClr val="accent4">
                  <a:shade val="8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11-4C81-AB2B-14B5C37EA14E}"/>
              </c:ext>
            </c:extLst>
          </c:dPt>
          <c:dPt>
            <c:idx val="2"/>
            <c:bubble3D val="0"/>
            <c:spPr>
              <a:solidFill>
                <a:schemeClr val="accent4">
                  <a:tint val="8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211-4C81-AB2B-14B5C37EA14E}"/>
              </c:ext>
            </c:extLst>
          </c:dPt>
          <c:dPt>
            <c:idx val="3"/>
            <c:bubble3D val="0"/>
            <c:spPr>
              <a:solidFill>
                <a:schemeClr val="accent4">
                  <a:tint val="58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211-4C81-AB2B-14B5C37EA14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Sheet2!$A$2:$A$5</c:f>
              <c:strCache>
                <c:ptCount val="4"/>
                <c:pt idx="0">
                  <c:v>Routine</c:v>
                </c:pt>
                <c:pt idx="1">
                  <c:v>Specialized</c:v>
                </c:pt>
                <c:pt idx="2">
                  <c:v>Complex</c:v>
                </c:pt>
                <c:pt idx="3">
                  <c:v>Highly Specialized</c:v>
                </c:pt>
              </c:strCache>
            </c:strRef>
          </c:cat>
          <c:val>
            <c:numRef>
              <c:f>Sheet2!$B$2:$B$5</c:f>
              <c:numCache>
                <c:formatCode>0</c:formatCode>
                <c:ptCount val="4"/>
                <c:pt idx="0">
                  <c:v>14</c:v>
                </c:pt>
                <c:pt idx="1">
                  <c:v>9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86-44BF-B175-5C602F2DD14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309142607174107"/>
          <c:y val="0.21332172470759092"/>
          <c:w val="0.35024190726159232"/>
          <c:h val="0.66069404415333965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Sheet2!$N$1</c:f>
              <c:strCache>
                <c:ptCount val="1"/>
                <c:pt idx="0">
                  <c:v>Chickasha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58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88A-452B-BC9A-1416C9F3AD69}"/>
              </c:ext>
            </c:extLst>
          </c:dPt>
          <c:dPt>
            <c:idx val="1"/>
            <c:bubble3D val="0"/>
            <c:spPr>
              <a:solidFill>
                <a:schemeClr val="accent4">
                  <a:shade val="8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88A-452B-BC9A-1416C9F3AD69}"/>
              </c:ext>
            </c:extLst>
          </c:dPt>
          <c:dPt>
            <c:idx val="2"/>
            <c:bubble3D val="0"/>
            <c:spPr>
              <a:solidFill>
                <a:schemeClr val="accent4">
                  <a:tint val="8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88A-452B-BC9A-1416C9F3AD69}"/>
              </c:ext>
            </c:extLst>
          </c:dPt>
          <c:dPt>
            <c:idx val="3"/>
            <c:bubble3D val="0"/>
            <c:spPr>
              <a:solidFill>
                <a:schemeClr val="accent4">
                  <a:tint val="58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88A-452B-BC9A-1416C9F3AD6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Sheet2!$M$2:$M$5</c:f>
              <c:strCache>
                <c:ptCount val="4"/>
                <c:pt idx="0">
                  <c:v>Routine</c:v>
                </c:pt>
                <c:pt idx="1">
                  <c:v>Specialized</c:v>
                </c:pt>
                <c:pt idx="2">
                  <c:v>Complex</c:v>
                </c:pt>
                <c:pt idx="3">
                  <c:v>Highly Specialized</c:v>
                </c:pt>
              </c:strCache>
            </c:strRef>
          </c:cat>
          <c:val>
            <c:numRef>
              <c:f>Sheet2!$N$2:$N$5</c:f>
              <c:numCache>
                <c:formatCode>General</c:formatCode>
                <c:ptCount val="4"/>
                <c:pt idx="0">
                  <c:v>14</c:v>
                </c:pt>
                <c:pt idx="1">
                  <c:v>8</c:v>
                </c:pt>
                <c:pt idx="2">
                  <c:v>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0-4EE5-87DE-A4F85408C54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Set_Region MED COP.xlsx]Sheet4!PivotTable15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Node by ICU 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Sheet4!$A$4:$A$7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Medium‑High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BC-4576-9457-B81C0261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2043295"/>
        <c:axId val="1622042815"/>
      </c:barChart>
      <c:catAx>
        <c:axId val="1622043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042815"/>
        <c:crosses val="autoZero"/>
        <c:auto val="1"/>
        <c:lblAlgn val="ctr"/>
        <c:lblOffset val="100"/>
        <c:noMultiLvlLbl val="0"/>
      </c:catAx>
      <c:valAx>
        <c:axId val="162204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043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381000</xdr:colOff>
      <xdr:row>21</xdr:row>
      <xdr:rowOff>73250</xdr:rowOff>
    </xdr:from>
    <xdr:to>
      <xdr:col>12</xdr:col>
      <xdr:colOff>263979</xdr:colOff>
      <xdr:row>38</xdr:row>
      <xdr:rowOff>24945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97F0AD-C6D7-7375-67AC-429D90DF51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605516</xdr:colOff>
      <xdr:row>20</xdr:row>
      <xdr:rowOff>105227</xdr:rowOff>
    </xdr:from>
    <xdr:to>
      <xdr:col>28</xdr:col>
      <xdr:colOff>78467</xdr:colOff>
      <xdr:row>42</xdr:row>
      <xdr:rowOff>71209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B59161-B90F-17D7-1623-76738289CB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438150</xdr:colOff>
      <xdr:row>11</xdr:row>
      <xdr:rowOff>157162</xdr:rowOff>
    </xdr:from>
    <xdr:to>
      <xdr:col>17</xdr:col>
      <xdr:colOff>133350</xdr:colOff>
      <xdr:row>27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E1166D-672E-54DD-2935-C739F1A405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nor Loehr" refreshedDate="45949.543687152778" createdVersion="8" refreshedVersion="8" minRefreshableVersion="3" recordCount="6" xr:uid="{13D4458A-0245-40DB-81F7-157657861D75}">
  <cacheSource type="worksheet">
    <worksheetSource ref="A1:L7" sheet="Sheet3"/>
  </cacheSource>
  <cacheFields count="12">
    <cacheField name="Node" numFmtId="0">
      <sharedItems/>
    </cacheField>
    <cacheField name="Catchment pop est" numFmtId="0">
      <sharedItems/>
    </cacheField>
    <cacheField name="TRICARE density" numFmtId="0">
      <sharedItems/>
    </cacheField>
    <cacheField name="Medicare 65+ density" numFmtId="0">
      <sharedItems/>
    </cacheField>
    <cacheField name="Beds (qualitative)" numFmtId="0">
      <sharedItems/>
    </cacheField>
    <cacheField name="ICU capacity" numFmtId="0">
      <sharedItems count="4">
        <s v="Low"/>
        <s v="Medium"/>
        <s v="Medium‑High"/>
        <s v="High"/>
      </sharedItems>
    </cacheField>
    <cacheField name="Trauma level" numFmtId="0">
      <sharedItems/>
    </cacheField>
    <cacheField name="Cath lab" numFmtId="0">
      <sharedItems/>
    </cacheField>
    <cacheField name="Oncology / Radiation" numFmtId="0">
      <sharedItems/>
    </cacheField>
    <cacheField name="Neurosurgery" numFmtId="0">
      <sharedItems/>
    </cacheField>
    <cacheField name="Behavioral health" numFmtId="0">
      <sharedItems/>
    </cacheField>
    <cacheField name="Key gap highlight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Altus"/>
    <s v="Small‑medium"/>
    <s v="Low"/>
    <s v="Medium"/>
    <s v="Low"/>
    <x v="0"/>
    <s v="No"/>
    <s v="No"/>
    <s v="Outpatient only"/>
    <s v="No"/>
    <s v="Limited"/>
    <s v="Tertiary transfer reliance"/>
  </r>
  <r>
    <s v="Lawton"/>
    <s v="Medium"/>
    <s v="High"/>
    <s v="Medium"/>
    <s v="Medium"/>
    <x v="1"/>
    <s v="No"/>
    <s v="No"/>
    <s v="Limited"/>
    <s v="No"/>
    <s v="Moderate"/>
    <s v="High TRICARE demand; specialty visitation gaps"/>
  </r>
  <r>
    <s v="Duncan"/>
    <s v="Small"/>
    <s v="Low"/>
    <s v="Medium"/>
    <s v="Low"/>
    <x v="0"/>
    <s v="No"/>
    <s v="No"/>
    <s v="No"/>
    <s v="No"/>
    <s v="Limited"/>
    <s v="Limited specialty breadth; transport dependency"/>
  </r>
  <r>
    <s v="Ardmore"/>
    <s v="Small"/>
    <s v="Low"/>
    <s v="Medium"/>
    <s v="Low"/>
    <x v="0"/>
    <s v="No"/>
    <s v="No"/>
    <s v="Limited"/>
    <s v="No"/>
    <s v="Limited"/>
    <s v="Similar to Duncan; limited tertiary"/>
  </r>
  <r>
    <s v="Wichita Falls"/>
    <s v="Medium‑large"/>
    <s v="Low"/>
    <s v="Medium"/>
    <s v="Medium‑High"/>
    <x v="2"/>
    <s v="Level II"/>
    <s v="Yes"/>
    <s v="Yes"/>
    <s v="Yes/visiting"/>
    <s v="Robust"/>
    <s v="Regional tertiary hub; accepts transfers"/>
  </r>
  <r>
    <s v="Oklahoma City"/>
    <s v="Large"/>
    <s v="Low"/>
    <s v="Medium‑High"/>
    <s v="High"/>
    <x v="3"/>
    <s v="Level I regional"/>
    <s v="Yes"/>
    <s v="Yes (comprehensive)"/>
    <s v="Yes"/>
    <s v="Comprehensive"/>
    <s v="Major tertiary and specialty cent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087838-7586-4EFD-8E90-687DC79A2811}" name="PivotTable15" cacheId="2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7" firstHeaderRow="1" firstDataRow="1" firstDataCol="1"/>
  <pivotFields count="12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3"/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5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Node" fld="0" subtotal="count" baseField="0" baseItem="0"/>
  </dataFields>
  <formats count="5">
    <format dxfId="4">
      <pivotArea type="all" dataOnly="0" outline="0" fieldPosition="0"/>
    </format>
    <format dxfId="3">
      <pivotArea outline="0" collapsedLevelsAreSubtotals="1" fieldPosition="0"/>
    </format>
    <format dxfId="2">
      <pivotArea field="5" type="button" dataOnly="0" labelOnly="1" outline="0" axis="axisRow" fieldPosition="0"/>
    </format>
    <format dxfId="1">
      <pivotArea dataOnly="0" labelOnly="1" outline="0" fieldPosition="0">
        <references count="1">
          <reference field="5" count="0"/>
        </references>
      </pivotArea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8049B-B98A-4236-9642-BA3B68911547}">
  <dimension ref="A1:O74"/>
  <sheetViews>
    <sheetView zoomScale="70" zoomScaleNormal="70" workbookViewId="0">
      <selection activeCell="W9" sqref="W9"/>
    </sheetView>
  </sheetViews>
  <sheetFormatPr defaultRowHeight="14.5" x14ac:dyDescent="0.35"/>
  <cols>
    <col min="1" max="1" width="34.90625" style="3" customWidth="1"/>
    <col min="2" max="2" width="21.08984375" style="3" customWidth="1"/>
    <col min="3" max="3" width="16.81640625" style="3" customWidth="1"/>
    <col min="4" max="4" width="14.453125" style="3" customWidth="1"/>
    <col min="5" max="5" width="14.08984375" style="3" customWidth="1"/>
    <col min="6" max="6" width="13.26953125" style="3" customWidth="1"/>
    <col min="7" max="7" width="13.6328125" style="3" customWidth="1"/>
    <col min="8" max="8" width="13.7265625" style="3" customWidth="1"/>
    <col min="9" max="9" width="18.08984375" style="3" customWidth="1"/>
    <col min="10" max="10" width="17.90625" style="3" customWidth="1"/>
    <col min="11" max="11" width="19.54296875" style="3" customWidth="1"/>
    <col min="12" max="12" width="20.453125" style="3" customWidth="1"/>
    <col min="13" max="13" width="21.7265625" style="3" customWidth="1"/>
    <col min="14" max="14" width="20.1796875" style="3" customWidth="1"/>
    <col min="15" max="15" width="20.6328125" style="3" customWidth="1"/>
    <col min="16" max="16384" width="8.7265625" style="3"/>
  </cols>
  <sheetData>
    <row r="1" spans="1:15" ht="29" x14ac:dyDescent="0.35">
      <c r="A1" s="2" t="s">
        <v>70</v>
      </c>
      <c r="B1" s="2"/>
      <c r="C1" s="19" t="s">
        <v>0</v>
      </c>
      <c r="D1" s="19" t="s">
        <v>1</v>
      </c>
      <c r="E1" s="19" t="s">
        <v>2</v>
      </c>
      <c r="F1" s="19" t="s">
        <v>3</v>
      </c>
      <c r="G1" s="19" t="s">
        <v>4</v>
      </c>
      <c r="H1" s="19" t="s">
        <v>5</v>
      </c>
      <c r="I1" s="19" t="s">
        <v>71</v>
      </c>
      <c r="J1" s="2" t="s">
        <v>72</v>
      </c>
      <c r="K1" s="2" t="s">
        <v>82</v>
      </c>
      <c r="L1" s="2" t="s">
        <v>83</v>
      </c>
      <c r="M1" s="2" t="s">
        <v>84</v>
      </c>
      <c r="N1" s="2" t="s">
        <v>183</v>
      </c>
      <c r="O1" s="2" t="s">
        <v>184</v>
      </c>
    </row>
    <row r="2" spans="1:15" ht="17" customHeight="1" x14ac:dyDescent="0.35">
      <c r="A2" s="4" t="s">
        <v>58</v>
      </c>
      <c r="B2" s="4" t="s">
        <v>90</v>
      </c>
      <c r="C2" s="4" t="s">
        <v>8</v>
      </c>
      <c r="D2" s="4" t="s">
        <v>10</v>
      </c>
      <c r="E2" s="4" t="s">
        <v>7</v>
      </c>
      <c r="F2" s="4" t="s">
        <v>8</v>
      </c>
      <c r="G2" s="4" t="s">
        <v>10</v>
      </c>
      <c r="H2" s="4" t="s">
        <v>7</v>
      </c>
      <c r="I2" s="4" t="s">
        <v>8</v>
      </c>
      <c r="J2" s="4" t="s">
        <v>73</v>
      </c>
      <c r="K2" s="4" t="s">
        <v>73</v>
      </c>
      <c r="L2" s="4" t="s">
        <v>73</v>
      </c>
      <c r="M2" s="4" t="s">
        <v>73</v>
      </c>
      <c r="N2" s="4" t="s">
        <v>73</v>
      </c>
      <c r="O2" s="4" t="s">
        <v>73</v>
      </c>
    </row>
    <row r="3" spans="1:15" x14ac:dyDescent="0.35">
      <c r="A3" s="4" t="s">
        <v>46</v>
      </c>
      <c r="B3" s="4" t="s">
        <v>91</v>
      </c>
      <c r="C3" s="4" t="s">
        <v>10</v>
      </c>
      <c r="D3" s="4" t="s">
        <v>7</v>
      </c>
      <c r="E3" s="4" t="s">
        <v>8</v>
      </c>
      <c r="F3" s="4" t="s">
        <v>10</v>
      </c>
      <c r="G3" s="4" t="s">
        <v>10</v>
      </c>
      <c r="H3" s="4" t="s">
        <v>7</v>
      </c>
      <c r="I3" s="4" t="s">
        <v>7</v>
      </c>
      <c r="J3" s="4" t="s">
        <v>73</v>
      </c>
      <c r="K3" s="4" t="s">
        <v>81</v>
      </c>
      <c r="L3" s="4" t="s">
        <v>73</v>
      </c>
      <c r="M3" s="4" t="s">
        <v>81</v>
      </c>
      <c r="N3" s="4" t="s">
        <v>81</v>
      </c>
      <c r="O3" s="4" t="s">
        <v>73</v>
      </c>
    </row>
    <row r="4" spans="1:15" ht="16" customHeight="1" x14ac:dyDescent="0.35">
      <c r="A4" s="4" t="s">
        <v>75</v>
      </c>
      <c r="B4" s="4" t="s">
        <v>90</v>
      </c>
      <c r="C4" s="4" t="s">
        <v>7</v>
      </c>
      <c r="D4" s="4" t="s">
        <v>10</v>
      </c>
      <c r="E4" s="4" t="s">
        <v>8</v>
      </c>
      <c r="F4" s="4" t="s">
        <v>10</v>
      </c>
      <c r="G4" s="4" t="s">
        <v>10</v>
      </c>
      <c r="H4" s="4" t="s">
        <v>8</v>
      </c>
      <c r="I4" s="4" t="s">
        <v>8</v>
      </c>
      <c r="J4" s="4" t="s">
        <v>73</v>
      </c>
      <c r="K4" s="4" t="s">
        <v>73</v>
      </c>
      <c r="L4" s="4" t="s">
        <v>73</v>
      </c>
      <c r="M4" s="4" t="s">
        <v>73</v>
      </c>
      <c r="N4" s="4" t="s">
        <v>73</v>
      </c>
      <c r="O4" s="4" t="s">
        <v>73</v>
      </c>
    </row>
    <row r="5" spans="1:15" x14ac:dyDescent="0.35">
      <c r="A5" s="4" t="s">
        <v>141</v>
      </c>
      <c r="B5" s="4" t="s">
        <v>91</v>
      </c>
      <c r="C5" s="4" t="s">
        <v>8</v>
      </c>
      <c r="D5" s="4" t="s">
        <v>7</v>
      </c>
      <c r="E5" s="4" t="s">
        <v>7</v>
      </c>
      <c r="F5" s="4" t="s">
        <v>8</v>
      </c>
      <c r="G5" s="4" t="s">
        <v>10</v>
      </c>
      <c r="H5" s="4" t="s">
        <v>7</v>
      </c>
      <c r="I5" s="4" t="s">
        <v>8</v>
      </c>
      <c r="J5" s="4" t="s">
        <v>81</v>
      </c>
      <c r="K5" s="4" t="s">
        <v>81</v>
      </c>
      <c r="L5" s="4" t="s">
        <v>81</v>
      </c>
      <c r="M5" s="4" t="s">
        <v>81</v>
      </c>
      <c r="N5" s="4" t="s">
        <v>81</v>
      </c>
      <c r="O5" s="4" t="s">
        <v>81</v>
      </c>
    </row>
    <row r="6" spans="1:15" ht="14.5" customHeight="1" x14ac:dyDescent="0.35">
      <c r="A6" s="4" t="s">
        <v>35</v>
      </c>
      <c r="B6" s="4" t="s">
        <v>91</v>
      </c>
      <c r="C6" s="4" t="s">
        <v>8</v>
      </c>
      <c r="D6" s="4" t="s">
        <v>8</v>
      </c>
      <c r="E6" s="4" t="s">
        <v>7</v>
      </c>
      <c r="F6" s="4" t="s">
        <v>10</v>
      </c>
      <c r="G6" s="4" t="s">
        <v>8</v>
      </c>
      <c r="H6" s="4" t="s">
        <v>8</v>
      </c>
      <c r="I6" s="4" t="s">
        <v>10</v>
      </c>
      <c r="J6" s="4" t="s">
        <v>81</v>
      </c>
      <c r="K6" s="4" t="s">
        <v>73</v>
      </c>
      <c r="L6" s="4" t="s">
        <v>73</v>
      </c>
      <c r="M6" s="4" t="s">
        <v>73</v>
      </c>
      <c r="N6" s="4" t="s">
        <v>73</v>
      </c>
      <c r="O6" s="4" t="s">
        <v>73</v>
      </c>
    </row>
    <row r="7" spans="1:15" x14ac:dyDescent="0.35">
      <c r="A7" s="4" t="s">
        <v>18</v>
      </c>
      <c r="B7" s="4" t="s">
        <v>93</v>
      </c>
      <c r="C7" s="4" t="s">
        <v>8</v>
      </c>
      <c r="D7" s="4" t="s">
        <v>7</v>
      </c>
      <c r="E7" s="4" t="s">
        <v>7</v>
      </c>
      <c r="F7" s="4" t="s">
        <v>7</v>
      </c>
      <c r="G7" s="4" t="s">
        <v>10</v>
      </c>
      <c r="H7" s="4" t="s">
        <v>8</v>
      </c>
      <c r="I7" s="4" t="s">
        <v>7</v>
      </c>
      <c r="J7" s="4" t="s">
        <v>81</v>
      </c>
      <c r="K7" s="4" t="s">
        <v>81</v>
      </c>
      <c r="L7" s="4" t="s">
        <v>73</v>
      </c>
      <c r="M7" s="4" t="s">
        <v>81</v>
      </c>
      <c r="N7" s="4" t="s">
        <v>81</v>
      </c>
      <c r="O7" s="4" t="s">
        <v>81</v>
      </c>
    </row>
    <row r="8" spans="1:15" ht="14" customHeight="1" x14ac:dyDescent="0.35">
      <c r="A8" s="4" t="s">
        <v>48</v>
      </c>
      <c r="B8" s="4" t="s">
        <v>92</v>
      </c>
      <c r="C8" s="4" t="s">
        <v>8</v>
      </c>
      <c r="D8" s="4" t="s">
        <v>10</v>
      </c>
      <c r="E8" s="4" t="s">
        <v>8</v>
      </c>
      <c r="F8" s="4" t="s">
        <v>10</v>
      </c>
      <c r="G8" s="4" t="s">
        <v>7</v>
      </c>
      <c r="H8" s="4" t="s">
        <v>7</v>
      </c>
      <c r="I8" s="4" t="s">
        <v>7</v>
      </c>
      <c r="J8" s="4" t="s">
        <v>73</v>
      </c>
      <c r="K8" s="4" t="s">
        <v>81</v>
      </c>
      <c r="L8" s="4" t="s">
        <v>73</v>
      </c>
      <c r="M8" s="4" t="s">
        <v>81</v>
      </c>
      <c r="N8" s="4" t="s">
        <v>81</v>
      </c>
      <c r="O8" s="4" t="s">
        <v>81</v>
      </c>
    </row>
    <row r="9" spans="1:15" ht="16" customHeight="1" x14ac:dyDescent="0.35">
      <c r="A9" s="4" t="s">
        <v>77</v>
      </c>
      <c r="B9" s="4" t="s">
        <v>90</v>
      </c>
      <c r="C9" s="4" t="s">
        <v>7</v>
      </c>
      <c r="D9" s="4" t="s">
        <v>10</v>
      </c>
      <c r="E9" s="4" t="s">
        <v>7</v>
      </c>
      <c r="F9" s="4" t="s">
        <v>8</v>
      </c>
      <c r="G9" s="4" t="s">
        <v>8</v>
      </c>
      <c r="H9" s="4" t="s">
        <v>10</v>
      </c>
      <c r="I9" s="4" t="s">
        <v>8</v>
      </c>
      <c r="J9" s="4" t="s">
        <v>73</v>
      </c>
      <c r="K9" s="4" t="s">
        <v>73</v>
      </c>
      <c r="L9" s="4" t="s">
        <v>73</v>
      </c>
      <c r="M9" s="4" t="s">
        <v>73</v>
      </c>
      <c r="N9" s="4" t="s">
        <v>73</v>
      </c>
      <c r="O9" s="4" t="s">
        <v>73</v>
      </c>
    </row>
    <row r="10" spans="1:15" ht="14.5" customHeight="1" x14ac:dyDescent="0.35">
      <c r="A10" s="4" t="s">
        <v>23</v>
      </c>
      <c r="B10" s="4" t="s">
        <v>92</v>
      </c>
      <c r="C10" s="4" t="s">
        <v>8</v>
      </c>
      <c r="D10" s="4" t="s">
        <v>7</v>
      </c>
      <c r="E10" s="4" t="s">
        <v>7</v>
      </c>
      <c r="F10" s="4" t="s">
        <v>7</v>
      </c>
      <c r="G10" s="4" t="s">
        <v>10</v>
      </c>
      <c r="H10" s="4" t="s">
        <v>8</v>
      </c>
      <c r="I10" s="4" t="s">
        <v>7</v>
      </c>
      <c r="J10" s="4" t="s">
        <v>81</v>
      </c>
      <c r="K10" s="4" t="s">
        <v>81</v>
      </c>
      <c r="L10" s="4" t="s">
        <v>73</v>
      </c>
      <c r="M10" s="4" t="s">
        <v>81</v>
      </c>
      <c r="N10" s="4" t="s">
        <v>81</v>
      </c>
      <c r="O10" s="4" t="s">
        <v>81</v>
      </c>
    </row>
    <row r="11" spans="1:15" x14ac:dyDescent="0.35">
      <c r="A11" s="4" t="s">
        <v>68</v>
      </c>
      <c r="B11" s="4" t="s">
        <v>90</v>
      </c>
      <c r="C11" s="4" t="s">
        <v>7</v>
      </c>
      <c r="D11" s="4" t="s">
        <v>10</v>
      </c>
      <c r="E11" s="4" t="s">
        <v>7</v>
      </c>
      <c r="F11" s="4" t="s">
        <v>8</v>
      </c>
      <c r="G11" s="4" t="s">
        <v>8</v>
      </c>
      <c r="H11" s="4" t="s">
        <v>7</v>
      </c>
      <c r="I11" s="4" t="s">
        <v>10</v>
      </c>
      <c r="J11" s="4" t="s">
        <v>81</v>
      </c>
      <c r="K11" s="4" t="s">
        <v>73</v>
      </c>
      <c r="L11" s="4" t="s">
        <v>73</v>
      </c>
      <c r="M11" s="4" t="s">
        <v>73</v>
      </c>
      <c r="N11" s="4" t="s">
        <v>81</v>
      </c>
      <c r="O11" s="4" t="s">
        <v>81</v>
      </c>
    </row>
    <row r="12" spans="1:15" x14ac:dyDescent="0.35">
      <c r="A12" s="4" t="s">
        <v>38</v>
      </c>
      <c r="B12" s="4" t="s">
        <v>92</v>
      </c>
      <c r="C12" s="4" t="s">
        <v>8</v>
      </c>
      <c r="D12" s="4" t="s">
        <v>10</v>
      </c>
      <c r="E12" s="4" t="s">
        <v>7</v>
      </c>
      <c r="F12" s="4" t="s">
        <v>10</v>
      </c>
      <c r="G12" s="4" t="s">
        <v>8</v>
      </c>
      <c r="H12" s="4" t="s">
        <v>8</v>
      </c>
      <c r="I12" s="4" t="s">
        <v>10</v>
      </c>
      <c r="J12" s="4" t="s">
        <v>81</v>
      </c>
      <c r="K12" s="4" t="s">
        <v>73</v>
      </c>
      <c r="L12" s="4" t="s">
        <v>73</v>
      </c>
      <c r="M12" s="4" t="s">
        <v>81</v>
      </c>
      <c r="N12" s="4" t="s">
        <v>73</v>
      </c>
      <c r="O12" s="4" t="s">
        <v>73</v>
      </c>
    </row>
    <row r="13" spans="1:15" ht="16" customHeight="1" x14ac:dyDescent="0.35">
      <c r="A13" s="4" t="s">
        <v>26</v>
      </c>
      <c r="B13" s="4" t="s">
        <v>90</v>
      </c>
      <c r="C13" s="4" t="s">
        <v>7</v>
      </c>
      <c r="D13" s="4" t="s">
        <v>8</v>
      </c>
      <c r="E13" s="4" t="s">
        <v>10</v>
      </c>
      <c r="F13" s="4" t="s">
        <v>8</v>
      </c>
      <c r="G13" s="4" t="s">
        <v>8</v>
      </c>
      <c r="H13" s="4" t="s">
        <v>8</v>
      </c>
      <c r="I13" s="4" t="s">
        <v>10</v>
      </c>
      <c r="J13" s="4" t="s">
        <v>73</v>
      </c>
      <c r="K13" s="4" t="s">
        <v>73</v>
      </c>
      <c r="L13" s="4" t="s">
        <v>73</v>
      </c>
      <c r="M13" s="4" t="s">
        <v>73</v>
      </c>
      <c r="N13" s="4" t="s">
        <v>73</v>
      </c>
      <c r="O13" s="4" t="s">
        <v>73</v>
      </c>
    </row>
    <row r="14" spans="1:15" ht="16" customHeight="1" x14ac:dyDescent="0.35">
      <c r="A14" s="4" t="s">
        <v>45</v>
      </c>
      <c r="B14" s="4" t="s">
        <v>91</v>
      </c>
      <c r="C14" s="4" t="s">
        <v>10</v>
      </c>
      <c r="D14" s="4" t="s">
        <v>8</v>
      </c>
      <c r="E14" s="4" t="s">
        <v>8</v>
      </c>
      <c r="F14" s="4" t="s">
        <v>8</v>
      </c>
      <c r="G14" s="4" t="s">
        <v>8</v>
      </c>
      <c r="H14" s="4" t="s">
        <v>8</v>
      </c>
      <c r="I14" s="4" t="s">
        <v>8</v>
      </c>
      <c r="J14" s="4" t="s">
        <v>73</v>
      </c>
      <c r="K14" s="4" t="s">
        <v>73</v>
      </c>
      <c r="L14" s="4" t="s">
        <v>73</v>
      </c>
      <c r="M14" s="4" t="s">
        <v>73</v>
      </c>
      <c r="N14" s="4" t="s">
        <v>73</v>
      </c>
      <c r="O14" s="4" t="s">
        <v>73</v>
      </c>
    </row>
    <row r="15" spans="1:15" x14ac:dyDescent="0.35">
      <c r="A15" s="4" t="s">
        <v>12</v>
      </c>
      <c r="B15" s="4" t="s">
        <v>92</v>
      </c>
      <c r="C15" s="4" t="s">
        <v>10</v>
      </c>
      <c r="D15" s="4" t="s">
        <v>8</v>
      </c>
      <c r="E15" s="4" t="s">
        <v>10</v>
      </c>
      <c r="F15" s="4" t="s">
        <v>8</v>
      </c>
      <c r="G15" s="4" t="s">
        <v>8</v>
      </c>
      <c r="H15" s="4" t="s">
        <v>8</v>
      </c>
      <c r="I15" s="4" t="s">
        <v>8</v>
      </c>
      <c r="J15" s="4" t="s">
        <v>81</v>
      </c>
      <c r="K15" s="4" t="s">
        <v>73</v>
      </c>
      <c r="L15" s="4" t="s">
        <v>73</v>
      </c>
      <c r="M15" s="4" t="s">
        <v>73</v>
      </c>
      <c r="N15" s="4" t="s">
        <v>73</v>
      </c>
      <c r="O15" s="4" t="s">
        <v>73</v>
      </c>
    </row>
    <row r="16" spans="1:15" x14ac:dyDescent="0.35">
      <c r="A16" s="4" t="s">
        <v>64</v>
      </c>
      <c r="B16" s="4" t="s">
        <v>90</v>
      </c>
      <c r="C16" s="4" t="s">
        <v>7</v>
      </c>
      <c r="D16" s="4" t="s">
        <v>8</v>
      </c>
      <c r="E16" s="4" t="s">
        <v>10</v>
      </c>
      <c r="F16" s="4" t="s">
        <v>8</v>
      </c>
      <c r="G16" s="4" t="s">
        <v>8</v>
      </c>
      <c r="H16" s="4" t="s">
        <v>8</v>
      </c>
      <c r="I16" s="4" t="s">
        <v>8</v>
      </c>
      <c r="J16" s="4" t="s">
        <v>81</v>
      </c>
      <c r="K16" s="4" t="s">
        <v>73</v>
      </c>
      <c r="L16" s="4" t="s">
        <v>73</v>
      </c>
      <c r="M16" s="4" t="s">
        <v>73</v>
      </c>
      <c r="N16" s="4" t="s">
        <v>73</v>
      </c>
      <c r="O16" s="4" t="s">
        <v>73</v>
      </c>
    </row>
    <row r="17" spans="1:15" x14ac:dyDescent="0.35">
      <c r="A17" s="4" t="s">
        <v>41</v>
      </c>
      <c r="B17" s="4" t="s">
        <v>91</v>
      </c>
      <c r="C17" s="4" t="s">
        <v>8</v>
      </c>
      <c r="D17" s="4" t="s">
        <v>7</v>
      </c>
      <c r="E17" s="4" t="s">
        <v>10</v>
      </c>
      <c r="F17" s="4" t="s">
        <v>10</v>
      </c>
      <c r="G17" s="4" t="s">
        <v>8</v>
      </c>
      <c r="H17" s="4" t="s">
        <v>8</v>
      </c>
      <c r="I17" s="4" t="s">
        <v>7</v>
      </c>
      <c r="J17" s="4" t="s">
        <v>81</v>
      </c>
      <c r="K17" s="4" t="s">
        <v>81</v>
      </c>
      <c r="L17" s="4" t="s">
        <v>73</v>
      </c>
      <c r="M17" s="4" t="s">
        <v>81</v>
      </c>
      <c r="N17" s="4" t="s">
        <v>81</v>
      </c>
      <c r="O17" s="4" t="s">
        <v>73</v>
      </c>
    </row>
    <row r="18" spans="1:15" x14ac:dyDescent="0.35">
      <c r="A18" s="4" t="s">
        <v>6</v>
      </c>
      <c r="B18" s="4" t="s">
        <v>90</v>
      </c>
      <c r="C18" s="4" t="s">
        <v>7</v>
      </c>
      <c r="D18" s="4" t="s">
        <v>8</v>
      </c>
      <c r="E18" s="4" t="s">
        <v>7</v>
      </c>
      <c r="F18" s="4" t="s">
        <v>8</v>
      </c>
      <c r="G18" s="4" t="s">
        <v>8</v>
      </c>
      <c r="H18" s="4" t="s">
        <v>8</v>
      </c>
      <c r="I18" s="4" t="s">
        <v>8</v>
      </c>
      <c r="J18" s="4" t="s">
        <v>73</v>
      </c>
      <c r="K18" s="4" t="s">
        <v>73</v>
      </c>
      <c r="L18" s="4" t="s">
        <v>73</v>
      </c>
      <c r="M18" s="4" t="s">
        <v>73</v>
      </c>
      <c r="N18" s="4" t="s">
        <v>73</v>
      </c>
      <c r="O18" s="4" t="s">
        <v>73</v>
      </c>
    </row>
    <row r="19" spans="1:15" ht="16" customHeight="1" x14ac:dyDescent="0.35">
      <c r="A19" s="4" t="s">
        <v>67</v>
      </c>
      <c r="B19" s="4" t="s">
        <v>93</v>
      </c>
      <c r="C19" s="4" t="s">
        <v>8</v>
      </c>
      <c r="D19" s="4" t="s">
        <v>7</v>
      </c>
      <c r="E19" s="4" t="s">
        <v>7</v>
      </c>
      <c r="F19" s="4" t="s">
        <v>7</v>
      </c>
      <c r="G19" s="4" t="s">
        <v>10</v>
      </c>
      <c r="H19" s="4" t="s">
        <v>7</v>
      </c>
      <c r="I19" s="4" t="s">
        <v>7</v>
      </c>
      <c r="J19" s="4" t="s">
        <v>81</v>
      </c>
      <c r="K19" s="4" t="s">
        <v>81</v>
      </c>
      <c r="L19" s="4" t="s">
        <v>73</v>
      </c>
      <c r="M19" s="4" t="s">
        <v>81</v>
      </c>
      <c r="N19" s="4" t="s">
        <v>81</v>
      </c>
      <c r="O19" s="4" t="s">
        <v>81</v>
      </c>
    </row>
    <row r="20" spans="1:15" x14ac:dyDescent="0.35">
      <c r="A20" s="4" t="s">
        <v>42</v>
      </c>
      <c r="B20" s="4" t="s">
        <v>92</v>
      </c>
      <c r="C20" s="4" t="s">
        <v>8</v>
      </c>
      <c r="D20" s="4" t="s">
        <v>10</v>
      </c>
      <c r="E20" s="4" t="s">
        <v>7</v>
      </c>
      <c r="F20" s="4" t="s">
        <v>10</v>
      </c>
      <c r="G20" s="4" t="s">
        <v>8</v>
      </c>
      <c r="H20" s="4" t="s">
        <v>8</v>
      </c>
      <c r="I20" s="4" t="s">
        <v>10</v>
      </c>
      <c r="J20" s="4" t="s">
        <v>81</v>
      </c>
      <c r="K20" s="4" t="s">
        <v>73</v>
      </c>
      <c r="L20" s="4" t="s">
        <v>73</v>
      </c>
      <c r="M20" s="4" t="s">
        <v>73</v>
      </c>
      <c r="N20" s="4" t="s">
        <v>81</v>
      </c>
      <c r="O20" s="4" t="s">
        <v>73</v>
      </c>
    </row>
    <row r="21" spans="1:15" x14ac:dyDescent="0.35">
      <c r="A21" s="4" t="s">
        <v>15</v>
      </c>
      <c r="B21" s="4" t="s">
        <v>92</v>
      </c>
      <c r="C21" s="4" t="s">
        <v>8</v>
      </c>
      <c r="D21" s="4" t="s">
        <v>8</v>
      </c>
      <c r="E21" s="4" t="s">
        <v>7</v>
      </c>
      <c r="F21" s="4" t="s">
        <v>10</v>
      </c>
      <c r="G21" s="4" t="s">
        <v>8</v>
      </c>
      <c r="H21" s="4" t="s">
        <v>8</v>
      </c>
      <c r="I21" s="4" t="s">
        <v>10</v>
      </c>
      <c r="J21" s="4" t="s">
        <v>81</v>
      </c>
      <c r="K21" s="4" t="s">
        <v>73</v>
      </c>
      <c r="L21" s="4" t="s">
        <v>73</v>
      </c>
      <c r="M21" s="4" t="s">
        <v>73</v>
      </c>
      <c r="N21" s="4" t="s">
        <v>73</v>
      </c>
      <c r="O21" s="4" t="s">
        <v>73</v>
      </c>
    </row>
    <row r="22" spans="1:15" x14ac:dyDescent="0.35">
      <c r="A22" s="4" t="s">
        <v>49</v>
      </c>
      <c r="B22" s="4" t="s">
        <v>91</v>
      </c>
      <c r="C22" s="4" t="s">
        <v>10</v>
      </c>
      <c r="D22" s="4" t="s">
        <v>10</v>
      </c>
      <c r="E22" s="4" t="s">
        <v>7</v>
      </c>
      <c r="F22" s="4" t="s">
        <v>7</v>
      </c>
      <c r="G22" s="4" t="s">
        <v>10</v>
      </c>
      <c r="H22" s="4" t="s">
        <v>8</v>
      </c>
      <c r="I22" s="4" t="s">
        <v>7</v>
      </c>
      <c r="J22" s="4" t="s">
        <v>81</v>
      </c>
      <c r="K22" s="4" t="s">
        <v>81</v>
      </c>
      <c r="L22" s="4" t="s">
        <v>73</v>
      </c>
      <c r="M22" s="4" t="s">
        <v>81</v>
      </c>
      <c r="N22" s="4" t="s">
        <v>81</v>
      </c>
      <c r="O22" s="4" t="s">
        <v>73</v>
      </c>
    </row>
    <row r="23" spans="1:15" x14ac:dyDescent="0.35">
      <c r="A23" s="4" t="s">
        <v>80</v>
      </c>
      <c r="B23" s="4" t="s">
        <v>90</v>
      </c>
      <c r="C23" s="4" t="s">
        <v>7</v>
      </c>
      <c r="D23" s="4" t="s">
        <v>8</v>
      </c>
      <c r="E23" s="4" t="s">
        <v>10</v>
      </c>
      <c r="F23" s="4" t="s">
        <v>8</v>
      </c>
      <c r="G23" s="4" t="s">
        <v>8</v>
      </c>
      <c r="H23" s="4" t="s">
        <v>8</v>
      </c>
      <c r="I23" s="4" t="s">
        <v>8</v>
      </c>
      <c r="J23" s="4" t="s">
        <v>73</v>
      </c>
      <c r="K23" s="4" t="s">
        <v>73</v>
      </c>
      <c r="L23" s="4" t="s">
        <v>73</v>
      </c>
      <c r="M23" s="4" t="s">
        <v>73</v>
      </c>
      <c r="N23" s="4" t="s">
        <v>73</v>
      </c>
      <c r="O23" s="4" t="s">
        <v>73</v>
      </c>
    </row>
    <row r="24" spans="1:15" ht="14" customHeight="1" x14ac:dyDescent="0.35">
      <c r="A24" s="4" t="s">
        <v>32</v>
      </c>
      <c r="B24" s="4" t="s">
        <v>93</v>
      </c>
      <c r="C24" s="4" t="s">
        <v>8</v>
      </c>
      <c r="D24" s="4" t="s">
        <v>10</v>
      </c>
      <c r="E24" s="4" t="s">
        <v>7</v>
      </c>
      <c r="F24" s="4" t="s">
        <v>10</v>
      </c>
      <c r="G24" s="4" t="s">
        <v>10</v>
      </c>
      <c r="H24" s="4" t="s">
        <v>8</v>
      </c>
      <c r="I24" s="4" t="s">
        <v>7</v>
      </c>
      <c r="J24" s="4" t="s">
        <v>81</v>
      </c>
      <c r="K24" s="4" t="s">
        <v>81</v>
      </c>
      <c r="L24" s="4" t="s">
        <v>73</v>
      </c>
      <c r="M24" s="4" t="s">
        <v>81</v>
      </c>
      <c r="N24" s="4" t="s">
        <v>81</v>
      </c>
      <c r="O24" s="4" t="s">
        <v>73</v>
      </c>
    </row>
    <row r="25" spans="1:15" ht="14" customHeight="1" x14ac:dyDescent="0.35">
      <c r="A25" s="4" t="s">
        <v>43</v>
      </c>
      <c r="B25" s="4" t="s">
        <v>91</v>
      </c>
      <c r="C25" s="4" t="s">
        <v>8</v>
      </c>
      <c r="D25" s="4" t="s">
        <v>7</v>
      </c>
      <c r="E25" s="4" t="s">
        <v>7</v>
      </c>
      <c r="F25" s="4" t="s">
        <v>7</v>
      </c>
      <c r="G25" s="4" t="s">
        <v>10</v>
      </c>
      <c r="H25" s="4" t="s">
        <v>8</v>
      </c>
      <c r="I25" s="4" t="s">
        <v>7</v>
      </c>
      <c r="J25" s="4" t="s">
        <v>81</v>
      </c>
      <c r="K25" s="4" t="s">
        <v>81</v>
      </c>
      <c r="L25" s="4" t="s">
        <v>73</v>
      </c>
      <c r="M25" s="4" t="s">
        <v>81</v>
      </c>
      <c r="N25" s="4" t="s">
        <v>81</v>
      </c>
      <c r="O25" s="4" t="s">
        <v>81</v>
      </c>
    </row>
    <row r="26" spans="1:15" x14ac:dyDescent="0.35">
      <c r="A26" s="4" t="s">
        <v>14</v>
      </c>
      <c r="B26" s="4" t="s">
        <v>91</v>
      </c>
      <c r="C26" s="4" t="s">
        <v>10</v>
      </c>
      <c r="D26" s="4" t="s">
        <v>8</v>
      </c>
      <c r="E26" s="4" t="s">
        <v>7</v>
      </c>
      <c r="F26" s="4" t="s">
        <v>10</v>
      </c>
      <c r="G26" s="4" t="s">
        <v>8</v>
      </c>
      <c r="H26" s="4" t="s">
        <v>8</v>
      </c>
      <c r="I26" s="4" t="s">
        <v>10</v>
      </c>
      <c r="J26" s="4" t="s">
        <v>81</v>
      </c>
      <c r="K26" s="4" t="s">
        <v>73</v>
      </c>
      <c r="L26" s="4" t="s">
        <v>73</v>
      </c>
      <c r="M26" s="4" t="s">
        <v>73</v>
      </c>
      <c r="N26" s="4" t="s">
        <v>73</v>
      </c>
      <c r="O26" s="4" t="s">
        <v>73</v>
      </c>
    </row>
    <row r="27" spans="1:15" ht="17.5" customHeight="1" x14ac:dyDescent="0.35">
      <c r="A27" s="4" t="s">
        <v>65</v>
      </c>
      <c r="B27" s="4" t="s">
        <v>93</v>
      </c>
      <c r="C27" s="4" t="s">
        <v>8</v>
      </c>
      <c r="D27" s="4" t="s">
        <v>7</v>
      </c>
      <c r="E27" s="4" t="s">
        <v>7</v>
      </c>
      <c r="F27" s="4" t="s">
        <v>7</v>
      </c>
      <c r="G27" s="4" t="s">
        <v>7</v>
      </c>
      <c r="H27" s="4" t="s">
        <v>10</v>
      </c>
      <c r="I27" s="4" t="s">
        <v>7</v>
      </c>
      <c r="J27" s="4" t="s">
        <v>81</v>
      </c>
      <c r="K27" s="4" t="s">
        <v>81</v>
      </c>
      <c r="L27" s="4" t="s">
        <v>73</v>
      </c>
      <c r="M27" s="4" t="s">
        <v>81</v>
      </c>
      <c r="N27" s="4" t="s">
        <v>81</v>
      </c>
      <c r="O27" s="4" t="s">
        <v>81</v>
      </c>
    </row>
    <row r="28" spans="1:15" x14ac:dyDescent="0.35">
      <c r="A28" s="4" t="s">
        <v>39</v>
      </c>
      <c r="B28" s="4" t="s">
        <v>91</v>
      </c>
      <c r="C28" s="4" t="s">
        <v>8</v>
      </c>
      <c r="D28" s="4" t="s">
        <v>7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81</v>
      </c>
      <c r="K28" s="4" t="s">
        <v>81</v>
      </c>
      <c r="L28" s="4" t="s">
        <v>73</v>
      </c>
      <c r="M28" s="4" t="s">
        <v>81</v>
      </c>
      <c r="N28" s="4" t="s">
        <v>81</v>
      </c>
      <c r="O28" s="4" t="s">
        <v>81</v>
      </c>
    </row>
    <row r="29" spans="1:15" x14ac:dyDescent="0.35">
      <c r="A29" s="4" t="s">
        <v>9</v>
      </c>
      <c r="B29" s="4" t="s">
        <v>91</v>
      </c>
      <c r="C29" s="4" t="s">
        <v>10</v>
      </c>
      <c r="D29" s="4" t="s">
        <v>8</v>
      </c>
      <c r="E29" s="4" t="s">
        <v>7</v>
      </c>
      <c r="F29" s="4" t="s">
        <v>10</v>
      </c>
      <c r="G29" s="4" t="s">
        <v>8</v>
      </c>
      <c r="H29" s="4" t="s">
        <v>8</v>
      </c>
      <c r="I29" s="4" t="s">
        <v>10</v>
      </c>
      <c r="J29" s="4" t="s">
        <v>73</v>
      </c>
      <c r="K29" s="4" t="s">
        <v>73</v>
      </c>
      <c r="L29" s="4" t="s">
        <v>73</v>
      </c>
      <c r="M29" s="4" t="s">
        <v>73</v>
      </c>
      <c r="N29" s="4" t="s">
        <v>73</v>
      </c>
      <c r="O29" s="4" t="s">
        <v>73</v>
      </c>
    </row>
    <row r="30" spans="1:15" ht="14.5" customHeight="1" x14ac:dyDescent="0.35">
      <c r="A30" s="4" t="s">
        <v>36</v>
      </c>
      <c r="B30" s="4" t="s">
        <v>93</v>
      </c>
      <c r="C30" s="4" t="s">
        <v>8</v>
      </c>
      <c r="D30" s="4" t="s">
        <v>10</v>
      </c>
      <c r="E30" s="4" t="s">
        <v>7</v>
      </c>
      <c r="F30" s="4" t="s">
        <v>7</v>
      </c>
      <c r="G30" s="4" t="s">
        <v>10</v>
      </c>
      <c r="H30" s="4" t="s">
        <v>8</v>
      </c>
      <c r="I30" s="4" t="s">
        <v>7</v>
      </c>
      <c r="J30" s="4" t="s">
        <v>81</v>
      </c>
      <c r="K30" s="4" t="s">
        <v>81</v>
      </c>
      <c r="L30" s="4" t="s">
        <v>73</v>
      </c>
      <c r="M30" s="4" t="s">
        <v>81</v>
      </c>
      <c r="N30" s="4" t="s">
        <v>81</v>
      </c>
      <c r="O30" s="4" t="s">
        <v>81</v>
      </c>
    </row>
    <row r="31" spans="1:15" x14ac:dyDescent="0.35">
      <c r="A31" s="4" t="s">
        <v>44</v>
      </c>
      <c r="B31" s="4" t="s">
        <v>93</v>
      </c>
      <c r="C31" s="4" t="s">
        <v>8</v>
      </c>
      <c r="D31" s="4" t="s">
        <v>7</v>
      </c>
      <c r="E31" s="4" t="s">
        <v>7</v>
      </c>
      <c r="F31" s="4" t="s">
        <v>7</v>
      </c>
      <c r="G31" s="4" t="s">
        <v>10</v>
      </c>
      <c r="H31" s="4" t="s">
        <v>8</v>
      </c>
      <c r="I31" s="4" t="s">
        <v>7</v>
      </c>
      <c r="J31" s="4" t="s">
        <v>81</v>
      </c>
      <c r="K31" s="4" t="s">
        <v>81</v>
      </c>
      <c r="L31" s="4" t="s">
        <v>73</v>
      </c>
      <c r="M31" s="4" t="s">
        <v>81</v>
      </c>
      <c r="N31" s="4" t="s">
        <v>81</v>
      </c>
      <c r="O31" s="4" t="s">
        <v>81</v>
      </c>
    </row>
    <row r="32" spans="1:15" x14ac:dyDescent="0.35">
      <c r="A32" s="4" t="s">
        <v>87</v>
      </c>
      <c r="B32" s="4" t="s">
        <v>90</v>
      </c>
      <c r="C32" s="4" t="s">
        <v>10</v>
      </c>
      <c r="D32" s="4" t="s">
        <v>8</v>
      </c>
      <c r="E32" s="4" t="s">
        <v>8</v>
      </c>
      <c r="F32" s="4" t="s">
        <v>8</v>
      </c>
      <c r="G32" s="4" t="s">
        <v>8</v>
      </c>
      <c r="H32" s="4" t="s">
        <v>8</v>
      </c>
      <c r="I32" s="4" t="s">
        <v>7</v>
      </c>
      <c r="J32" s="4" t="s">
        <v>73</v>
      </c>
      <c r="K32" s="4" t="s">
        <v>73</v>
      </c>
      <c r="L32" s="4" t="s">
        <v>73</v>
      </c>
      <c r="M32" s="4" t="s">
        <v>73</v>
      </c>
      <c r="N32" s="4" t="s">
        <v>73</v>
      </c>
      <c r="O32" s="4" t="s">
        <v>73</v>
      </c>
    </row>
    <row r="33" spans="1:15" x14ac:dyDescent="0.35">
      <c r="A33" s="4" t="s">
        <v>28</v>
      </c>
      <c r="B33" s="4" t="s">
        <v>92</v>
      </c>
      <c r="C33" s="4" t="s">
        <v>8</v>
      </c>
      <c r="D33" s="4" t="s">
        <v>7</v>
      </c>
      <c r="E33" s="4" t="s">
        <v>7</v>
      </c>
      <c r="F33" s="4" t="s">
        <v>8</v>
      </c>
      <c r="G33" s="4" t="s">
        <v>7</v>
      </c>
      <c r="H33" s="4" t="s">
        <v>7</v>
      </c>
      <c r="I33" s="4" t="s">
        <v>7</v>
      </c>
      <c r="J33" s="4" t="s">
        <v>81</v>
      </c>
      <c r="K33" s="4" t="s">
        <v>81</v>
      </c>
      <c r="L33" s="4" t="s">
        <v>73</v>
      </c>
      <c r="M33" s="4" t="s">
        <v>81</v>
      </c>
      <c r="N33" s="4" t="s">
        <v>73</v>
      </c>
      <c r="O33" s="4" t="s">
        <v>73</v>
      </c>
    </row>
    <row r="34" spans="1:15" x14ac:dyDescent="0.35">
      <c r="A34" s="4" t="s">
        <v>51</v>
      </c>
      <c r="B34" s="4" t="s">
        <v>93</v>
      </c>
      <c r="C34" s="4" t="s">
        <v>8</v>
      </c>
      <c r="D34" s="4" t="s">
        <v>7</v>
      </c>
      <c r="E34" s="4" t="s">
        <v>10</v>
      </c>
      <c r="F34" s="4" t="s">
        <v>7</v>
      </c>
      <c r="G34" s="4" t="s">
        <v>7</v>
      </c>
      <c r="H34" s="4" t="s">
        <v>7</v>
      </c>
      <c r="I34" s="4" t="s">
        <v>7</v>
      </c>
      <c r="J34" s="4" t="s">
        <v>81</v>
      </c>
      <c r="K34" s="4" t="s">
        <v>81</v>
      </c>
      <c r="L34" s="4" t="s">
        <v>73</v>
      </c>
      <c r="M34" s="4" t="s">
        <v>81</v>
      </c>
      <c r="N34" s="4" t="s">
        <v>81</v>
      </c>
      <c r="O34" s="4" t="s">
        <v>81</v>
      </c>
    </row>
    <row r="35" spans="1:15" ht="16" customHeight="1" x14ac:dyDescent="0.35">
      <c r="A35" s="4" t="s">
        <v>33</v>
      </c>
      <c r="B35" s="4" t="s">
        <v>93</v>
      </c>
      <c r="C35" s="4" t="s">
        <v>8</v>
      </c>
      <c r="D35" s="4" t="s">
        <v>10</v>
      </c>
      <c r="E35" s="4" t="s">
        <v>7</v>
      </c>
      <c r="F35" s="4" t="s">
        <v>7</v>
      </c>
      <c r="G35" s="4" t="s">
        <v>8</v>
      </c>
      <c r="H35" s="4" t="s">
        <v>8</v>
      </c>
      <c r="I35" s="4" t="s">
        <v>7</v>
      </c>
      <c r="J35" s="4" t="s">
        <v>81</v>
      </c>
      <c r="K35" s="4" t="s">
        <v>81</v>
      </c>
      <c r="L35" s="4" t="s">
        <v>73</v>
      </c>
      <c r="M35" s="4" t="s">
        <v>81</v>
      </c>
      <c r="N35" s="4" t="s">
        <v>81</v>
      </c>
      <c r="O35" s="4" t="s">
        <v>81</v>
      </c>
    </row>
    <row r="36" spans="1:15" ht="14.5" customHeight="1" x14ac:dyDescent="0.35">
      <c r="A36" s="4" t="s">
        <v>66</v>
      </c>
      <c r="B36" s="4" t="s">
        <v>91</v>
      </c>
      <c r="C36" s="4" t="s">
        <v>7</v>
      </c>
      <c r="D36" s="4" t="s">
        <v>10</v>
      </c>
      <c r="E36" s="4" t="s">
        <v>7</v>
      </c>
      <c r="F36" s="4" t="s">
        <v>8</v>
      </c>
      <c r="G36" s="4" t="s">
        <v>10</v>
      </c>
      <c r="H36" s="4" t="s">
        <v>7</v>
      </c>
      <c r="I36" s="4" t="s">
        <v>8</v>
      </c>
      <c r="J36" s="4" t="s">
        <v>81</v>
      </c>
      <c r="K36" s="4" t="s">
        <v>73</v>
      </c>
      <c r="L36" s="4" t="s">
        <v>81</v>
      </c>
      <c r="M36" s="4" t="s">
        <v>81</v>
      </c>
      <c r="N36" s="4" t="s">
        <v>81</v>
      </c>
      <c r="O36" s="4" t="s">
        <v>81</v>
      </c>
    </row>
    <row r="37" spans="1:15" ht="16" customHeight="1" x14ac:dyDescent="0.35">
      <c r="A37" s="4" t="s">
        <v>52</v>
      </c>
      <c r="B37" s="4" t="s">
        <v>92</v>
      </c>
      <c r="C37" s="4" t="s">
        <v>8</v>
      </c>
      <c r="D37" s="4" t="s">
        <v>7</v>
      </c>
      <c r="E37" s="4" t="s">
        <v>8</v>
      </c>
      <c r="F37" s="4" t="s">
        <v>7</v>
      </c>
      <c r="G37" s="4" t="s">
        <v>7</v>
      </c>
      <c r="H37" s="4" t="s">
        <v>7</v>
      </c>
      <c r="I37" s="4" t="s">
        <v>7</v>
      </c>
      <c r="J37" s="4" t="s">
        <v>81</v>
      </c>
      <c r="K37" s="4" t="s">
        <v>81</v>
      </c>
      <c r="L37" s="4" t="s">
        <v>73</v>
      </c>
      <c r="M37" s="4" t="s">
        <v>81</v>
      </c>
      <c r="N37" s="4" t="s">
        <v>81</v>
      </c>
      <c r="O37" s="4" t="s">
        <v>73</v>
      </c>
    </row>
    <row r="38" spans="1:15" ht="16" customHeight="1" x14ac:dyDescent="0.35">
      <c r="A38" s="4" t="s">
        <v>31</v>
      </c>
      <c r="B38" s="4" t="s">
        <v>92</v>
      </c>
      <c r="C38" s="4" t="s">
        <v>8</v>
      </c>
      <c r="D38" s="4" t="s">
        <v>10</v>
      </c>
      <c r="E38" s="4" t="s">
        <v>7</v>
      </c>
      <c r="F38" s="4" t="s">
        <v>7</v>
      </c>
      <c r="G38" s="4" t="s">
        <v>10</v>
      </c>
      <c r="H38" s="4" t="s">
        <v>8</v>
      </c>
      <c r="I38" s="4" t="s">
        <v>7</v>
      </c>
      <c r="J38" s="4" t="s">
        <v>81</v>
      </c>
      <c r="K38" s="4" t="s">
        <v>73</v>
      </c>
      <c r="L38" s="4" t="s">
        <v>73</v>
      </c>
      <c r="M38" s="4" t="s">
        <v>81</v>
      </c>
      <c r="N38" s="4" t="s">
        <v>81</v>
      </c>
      <c r="O38" s="4" t="s">
        <v>81</v>
      </c>
    </row>
    <row r="39" spans="1:15" ht="16" customHeight="1" x14ac:dyDescent="0.35">
      <c r="A39" s="4" t="s">
        <v>76</v>
      </c>
      <c r="B39" s="4" t="s">
        <v>92</v>
      </c>
      <c r="C39" s="4" t="s">
        <v>8</v>
      </c>
      <c r="D39" s="4" t="s">
        <v>10</v>
      </c>
      <c r="E39" s="4" t="s">
        <v>7</v>
      </c>
      <c r="F39" s="4" t="s">
        <v>10</v>
      </c>
      <c r="G39" s="4" t="s">
        <v>8</v>
      </c>
      <c r="H39" s="4" t="s">
        <v>8</v>
      </c>
      <c r="I39" s="4" t="s">
        <v>10</v>
      </c>
      <c r="J39" s="4" t="s">
        <v>73</v>
      </c>
      <c r="K39" s="4" t="s">
        <v>73</v>
      </c>
      <c r="L39" s="4" t="s">
        <v>73</v>
      </c>
      <c r="M39" s="4" t="s">
        <v>81</v>
      </c>
      <c r="N39" s="4" t="s">
        <v>81</v>
      </c>
      <c r="O39" s="4" t="s">
        <v>81</v>
      </c>
    </row>
    <row r="40" spans="1:15" ht="16" customHeight="1" x14ac:dyDescent="0.35">
      <c r="A40" s="4" t="s">
        <v>19</v>
      </c>
      <c r="B40" s="4" t="s">
        <v>93</v>
      </c>
      <c r="C40" s="4" t="s">
        <v>8</v>
      </c>
      <c r="D40" s="4" t="s">
        <v>7</v>
      </c>
      <c r="E40" s="4" t="s">
        <v>7</v>
      </c>
      <c r="F40" s="4" t="s">
        <v>10</v>
      </c>
      <c r="G40" s="4" t="s">
        <v>10</v>
      </c>
      <c r="H40" s="4" t="s">
        <v>8</v>
      </c>
      <c r="I40" s="4" t="s">
        <v>7</v>
      </c>
      <c r="J40" s="4" t="s">
        <v>81</v>
      </c>
      <c r="K40" s="4" t="s">
        <v>81</v>
      </c>
      <c r="L40" s="4" t="s">
        <v>73</v>
      </c>
      <c r="M40" s="4" t="s">
        <v>81</v>
      </c>
      <c r="N40" s="4" t="s">
        <v>81</v>
      </c>
      <c r="O40" s="4" t="s">
        <v>73</v>
      </c>
    </row>
    <row r="41" spans="1:15" ht="16" customHeight="1" x14ac:dyDescent="0.35">
      <c r="A41" s="4" t="s">
        <v>50</v>
      </c>
      <c r="B41" s="4" t="s">
        <v>93</v>
      </c>
      <c r="C41" s="4" t="s">
        <v>8</v>
      </c>
      <c r="D41" s="4" t="s">
        <v>7</v>
      </c>
      <c r="E41" s="4" t="s">
        <v>7</v>
      </c>
      <c r="F41" s="4" t="s">
        <v>7</v>
      </c>
      <c r="G41" s="4" t="s">
        <v>10</v>
      </c>
      <c r="H41" s="4" t="s">
        <v>8</v>
      </c>
      <c r="I41" s="4" t="s">
        <v>7</v>
      </c>
      <c r="J41" s="4" t="s">
        <v>81</v>
      </c>
      <c r="K41" s="4" t="s">
        <v>73</v>
      </c>
      <c r="L41" s="4" t="s">
        <v>73</v>
      </c>
      <c r="M41" s="4" t="s">
        <v>81</v>
      </c>
      <c r="N41" s="4" t="s">
        <v>81</v>
      </c>
      <c r="O41" s="4" t="s">
        <v>73</v>
      </c>
    </row>
    <row r="42" spans="1:15" ht="16" customHeight="1" x14ac:dyDescent="0.35">
      <c r="A42" s="4" t="s">
        <v>79</v>
      </c>
      <c r="B42" s="4" t="s">
        <v>90</v>
      </c>
      <c r="C42" s="4" t="s">
        <v>7</v>
      </c>
      <c r="D42" s="4" t="s">
        <v>8</v>
      </c>
      <c r="E42" s="4" t="s">
        <v>10</v>
      </c>
      <c r="F42" s="4" t="s">
        <v>8</v>
      </c>
      <c r="G42" s="4" t="s">
        <v>8</v>
      </c>
      <c r="H42" s="4" t="s">
        <v>8</v>
      </c>
      <c r="I42" s="4" t="s">
        <v>8</v>
      </c>
      <c r="J42" s="4" t="s">
        <v>73</v>
      </c>
      <c r="K42" s="4" t="s">
        <v>73</v>
      </c>
      <c r="L42" s="4" t="s">
        <v>73</v>
      </c>
      <c r="M42" s="4" t="s">
        <v>73</v>
      </c>
      <c r="N42" s="4" t="s">
        <v>73</v>
      </c>
      <c r="O42" s="4" t="s">
        <v>73</v>
      </c>
    </row>
    <row r="43" spans="1:15" ht="16" customHeight="1" x14ac:dyDescent="0.35">
      <c r="A43" s="4" t="s">
        <v>27</v>
      </c>
      <c r="B43" s="4" t="s">
        <v>92</v>
      </c>
      <c r="C43" s="4" t="s">
        <v>10</v>
      </c>
      <c r="D43" s="4" t="s">
        <v>8</v>
      </c>
      <c r="E43" s="4" t="s">
        <v>7</v>
      </c>
      <c r="F43" s="4" t="s">
        <v>8</v>
      </c>
      <c r="G43" s="4" t="s">
        <v>10</v>
      </c>
      <c r="H43" s="4" t="s">
        <v>7</v>
      </c>
      <c r="I43" s="4" t="s">
        <v>8</v>
      </c>
      <c r="J43" s="4" t="s">
        <v>81</v>
      </c>
      <c r="K43" s="4" t="s">
        <v>73</v>
      </c>
      <c r="L43" s="4" t="s">
        <v>73</v>
      </c>
      <c r="M43" s="4" t="s">
        <v>73</v>
      </c>
      <c r="N43" s="4" t="s">
        <v>73</v>
      </c>
      <c r="O43" s="4" t="s">
        <v>73</v>
      </c>
    </row>
    <row r="44" spans="1:15" ht="16" customHeight="1" x14ac:dyDescent="0.35">
      <c r="A44" s="4" t="s">
        <v>56</v>
      </c>
      <c r="B44" s="4" t="s">
        <v>90</v>
      </c>
      <c r="C44" s="4" t="s">
        <v>7</v>
      </c>
      <c r="D44" s="4" t="s">
        <v>10</v>
      </c>
      <c r="E44" s="4" t="s">
        <v>7</v>
      </c>
      <c r="F44" s="4" t="s">
        <v>8</v>
      </c>
      <c r="G44" s="4" t="s">
        <v>8</v>
      </c>
      <c r="H44" s="4" t="s">
        <v>10</v>
      </c>
      <c r="I44" s="4" t="s">
        <v>8</v>
      </c>
      <c r="J44" s="4" t="s">
        <v>73</v>
      </c>
      <c r="K44" s="4" t="s">
        <v>73</v>
      </c>
      <c r="L44" s="4" t="s">
        <v>73</v>
      </c>
      <c r="M44" s="4" t="s">
        <v>73</v>
      </c>
      <c r="N44" s="4" t="s">
        <v>81</v>
      </c>
      <c r="O44" s="4" t="s">
        <v>73</v>
      </c>
    </row>
    <row r="45" spans="1:15" ht="16" customHeight="1" x14ac:dyDescent="0.35">
      <c r="A45" s="4" t="s">
        <v>25</v>
      </c>
      <c r="B45" s="4" t="s">
        <v>90</v>
      </c>
      <c r="C45" s="4" t="s">
        <v>7</v>
      </c>
      <c r="D45" s="4" t="s">
        <v>8</v>
      </c>
      <c r="E45" s="4" t="s">
        <v>10</v>
      </c>
      <c r="F45" s="4" t="s">
        <v>10</v>
      </c>
      <c r="G45" s="4" t="s">
        <v>8</v>
      </c>
      <c r="H45" s="4" t="s">
        <v>8</v>
      </c>
      <c r="I45" s="4" t="s">
        <v>7</v>
      </c>
      <c r="J45" s="4" t="s">
        <v>81</v>
      </c>
      <c r="K45" s="4" t="s">
        <v>73</v>
      </c>
      <c r="L45" s="4" t="s">
        <v>73</v>
      </c>
      <c r="M45" s="4" t="s">
        <v>73</v>
      </c>
      <c r="N45" s="4" t="s">
        <v>81</v>
      </c>
      <c r="O45" s="4" t="s">
        <v>73</v>
      </c>
    </row>
    <row r="46" spans="1:15" ht="16" customHeight="1" x14ac:dyDescent="0.35">
      <c r="A46" s="4" t="s">
        <v>74</v>
      </c>
      <c r="B46" s="4" t="s">
        <v>90</v>
      </c>
      <c r="C46" s="4" t="s">
        <v>7</v>
      </c>
      <c r="D46" s="4" t="s">
        <v>8</v>
      </c>
      <c r="E46" s="4" t="s">
        <v>10</v>
      </c>
      <c r="F46" s="4" t="s">
        <v>8</v>
      </c>
      <c r="G46" s="4" t="s">
        <v>8</v>
      </c>
      <c r="H46" s="4" t="s">
        <v>8</v>
      </c>
      <c r="I46" s="4" t="s">
        <v>10</v>
      </c>
      <c r="J46" s="4" t="s">
        <v>73</v>
      </c>
      <c r="K46" s="4" t="s">
        <v>73</v>
      </c>
      <c r="L46" s="4" t="s">
        <v>73</v>
      </c>
      <c r="M46" s="4" t="s">
        <v>73</v>
      </c>
      <c r="N46" s="4" t="s">
        <v>73</v>
      </c>
      <c r="O46" s="4" t="s">
        <v>73</v>
      </c>
    </row>
    <row r="47" spans="1:15" ht="16" customHeight="1" x14ac:dyDescent="0.35">
      <c r="A47" s="4" t="s">
        <v>63</v>
      </c>
      <c r="B47" s="4" t="s">
        <v>92</v>
      </c>
      <c r="C47" s="4" t="s">
        <v>8</v>
      </c>
      <c r="D47" s="4" t="s">
        <v>7</v>
      </c>
      <c r="E47" s="4" t="s">
        <v>7</v>
      </c>
      <c r="F47" s="4" t="s">
        <v>10</v>
      </c>
      <c r="G47" s="4" t="s">
        <v>10</v>
      </c>
      <c r="H47" s="4" t="s">
        <v>7</v>
      </c>
      <c r="I47" s="4" t="s">
        <v>7</v>
      </c>
      <c r="J47" s="4" t="s">
        <v>73</v>
      </c>
      <c r="K47" s="4" t="s">
        <v>81</v>
      </c>
      <c r="L47" s="4" t="s">
        <v>73</v>
      </c>
      <c r="M47" s="4" t="s">
        <v>81</v>
      </c>
      <c r="N47" s="4" t="s">
        <v>81</v>
      </c>
      <c r="O47" s="4" t="s">
        <v>81</v>
      </c>
    </row>
    <row r="48" spans="1:15" ht="16" customHeight="1" x14ac:dyDescent="0.35">
      <c r="A48" s="4" t="s">
        <v>20</v>
      </c>
      <c r="B48" s="4" t="s">
        <v>92</v>
      </c>
      <c r="C48" s="4" t="s">
        <v>8</v>
      </c>
      <c r="D48" s="4" t="s">
        <v>8</v>
      </c>
      <c r="E48" s="4" t="s">
        <v>10</v>
      </c>
      <c r="F48" s="4" t="s">
        <v>8</v>
      </c>
      <c r="G48" s="4" t="s">
        <v>8</v>
      </c>
      <c r="H48" s="4" t="s">
        <v>8</v>
      </c>
      <c r="I48" s="4" t="s">
        <v>8</v>
      </c>
      <c r="J48" s="4" t="s">
        <v>81</v>
      </c>
      <c r="K48" s="4" t="s">
        <v>73</v>
      </c>
      <c r="L48" s="4" t="s">
        <v>73</v>
      </c>
      <c r="M48" s="4" t="s">
        <v>73</v>
      </c>
      <c r="N48" s="4" t="s">
        <v>81</v>
      </c>
      <c r="O48" s="4" t="s">
        <v>73</v>
      </c>
    </row>
    <row r="49" spans="1:15" ht="16" customHeight="1" x14ac:dyDescent="0.35">
      <c r="A49" s="4" t="s">
        <v>24</v>
      </c>
      <c r="B49" s="4" t="s">
        <v>92</v>
      </c>
      <c r="C49" s="4" t="s">
        <v>8</v>
      </c>
      <c r="D49" s="4" t="s">
        <v>10</v>
      </c>
      <c r="E49" s="4" t="s">
        <v>10</v>
      </c>
      <c r="F49" s="4" t="s">
        <v>10</v>
      </c>
      <c r="G49" s="4" t="s">
        <v>8</v>
      </c>
      <c r="H49" s="4" t="s">
        <v>8</v>
      </c>
      <c r="I49" s="4" t="s">
        <v>10</v>
      </c>
      <c r="J49" s="4" t="s">
        <v>81</v>
      </c>
      <c r="K49" s="4" t="s">
        <v>73</v>
      </c>
      <c r="L49" s="4" t="s">
        <v>73</v>
      </c>
      <c r="M49" s="4" t="s">
        <v>73</v>
      </c>
      <c r="N49" s="4" t="s">
        <v>81</v>
      </c>
      <c r="O49" s="4" t="s">
        <v>73</v>
      </c>
    </row>
    <row r="50" spans="1:15" ht="16" customHeight="1" x14ac:dyDescent="0.35">
      <c r="A50" s="4" t="s">
        <v>47</v>
      </c>
      <c r="B50" s="4" t="s">
        <v>91</v>
      </c>
      <c r="C50" s="4" t="s">
        <v>10</v>
      </c>
      <c r="D50" s="4" t="s">
        <v>10</v>
      </c>
      <c r="E50" s="4" t="s">
        <v>7</v>
      </c>
      <c r="F50" s="4" t="s">
        <v>10</v>
      </c>
      <c r="G50" s="4" t="s">
        <v>8</v>
      </c>
      <c r="H50" s="4" t="s">
        <v>8</v>
      </c>
      <c r="I50" s="4" t="s">
        <v>10</v>
      </c>
      <c r="J50" s="4" t="s">
        <v>73</v>
      </c>
      <c r="K50" s="4" t="s">
        <v>73</v>
      </c>
      <c r="L50" s="4" t="s">
        <v>73</v>
      </c>
      <c r="M50" s="4" t="s">
        <v>73</v>
      </c>
      <c r="N50" s="4" t="s">
        <v>81</v>
      </c>
      <c r="O50" s="4" t="s">
        <v>73</v>
      </c>
    </row>
    <row r="51" spans="1:15" ht="16" customHeight="1" x14ac:dyDescent="0.35">
      <c r="A51" s="4" t="s">
        <v>60</v>
      </c>
      <c r="B51" s="4" t="s">
        <v>91</v>
      </c>
      <c r="C51" s="4" t="s">
        <v>8</v>
      </c>
      <c r="D51" s="4" t="s">
        <v>10</v>
      </c>
      <c r="E51" s="4" t="s">
        <v>7</v>
      </c>
      <c r="F51" s="4" t="s">
        <v>7</v>
      </c>
      <c r="G51" s="4" t="s">
        <v>10</v>
      </c>
      <c r="H51" s="4" t="s">
        <v>8</v>
      </c>
      <c r="I51" s="4" t="s">
        <v>7</v>
      </c>
      <c r="J51" s="4" t="s">
        <v>81</v>
      </c>
      <c r="K51" s="4" t="s">
        <v>73</v>
      </c>
      <c r="L51" s="4" t="s">
        <v>73</v>
      </c>
      <c r="M51" s="4" t="s">
        <v>73</v>
      </c>
      <c r="N51" s="4" t="s">
        <v>73</v>
      </c>
      <c r="O51" s="4" t="s">
        <v>73</v>
      </c>
    </row>
    <row r="52" spans="1:15" ht="16" customHeight="1" x14ac:dyDescent="0.35">
      <c r="A52" s="4" t="s">
        <v>86</v>
      </c>
      <c r="B52" s="4" t="s">
        <v>91</v>
      </c>
      <c r="C52" s="4" t="s">
        <v>8</v>
      </c>
      <c r="D52" s="4" t="s">
        <v>10</v>
      </c>
      <c r="E52" s="4" t="s">
        <v>7</v>
      </c>
      <c r="F52" s="4" t="s">
        <v>10</v>
      </c>
      <c r="G52" s="4" t="s">
        <v>8</v>
      </c>
      <c r="H52" s="4" t="s">
        <v>8</v>
      </c>
      <c r="I52" s="4" t="s">
        <v>10</v>
      </c>
      <c r="J52" s="4" t="s">
        <v>81</v>
      </c>
      <c r="K52" s="4" t="s">
        <v>73</v>
      </c>
      <c r="L52" s="4" t="s">
        <v>73</v>
      </c>
      <c r="M52" s="4" t="s">
        <v>73</v>
      </c>
      <c r="N52" s="4" t="s">
        <v>73</v>
      </c>
      <c r="O52" s="4" t="s">
        <v>73</v>
      </c>
    </row>
    <row r="53" spans="1:15" ht="16" customHeight="1" x14ac:dyDescent="0.35">
      <c r="A53" s="4" t="s">
        <v>53</v>
      </c>
      <c r="B53" s="4" t="s">
        <v>92</v>
      </c>
      <c r="C53" s="4" t="s">
        <v>8</v>
      </c>
      <c r="D53" s="4" t="s">
        <v>7</v>
      </c>
      <c r="E53" s="4" t="s">
        <v>8</v>
      </c>
      <c r="F53" s="4" t="s">
        <v>7</v>
      </c>
      <c r="G53" s="4" t="s">
        <v>7</v>
      </c>
      <c r="H53" s="4" t="s">
        <v>7</v>
      </c>
      <c r="I53" s="4" t="s">
        <v>7</v>
      </c>
      <c r="J53" s="4" t="s">
        <v>81</v>
      </c>
      <c r="K53" s="4" t="s">
        <v>81</v>
      </c>
      <c r="L53" s="4" t="s">
        <v>73</v>
      </c>
      <c r="M53" s="4" t="s">
        <v>81</v>
      </c>
      <c r="N53" s="4" t="s">
        <v>81</v>
      </c>
      <c r="O53" s="4" t="s">
        <v>81</v>
      </c>
    </row>
    <row r="54" spans="1:15" ht="16" customHeight="1" x14ac:dyDescent="0.35">
      <c r="A54" s="4" t="s">
        <v>69</v>
      </c>
      <c r="B54" s="4" t="s">
        <v>92</v>
      </c>
      <c r="C54" s="4" t="s">
        <v>8</v>
      </c>
      <c r="D54" s="4" t="s">
        <v>10</v>
      </c>
      <c r="E54" s="4" t="s">
        <v>8</v>
      </c>
      <c r="F54" s="4" t="s">
        <v>10</v>
      </c>
      <c r="G54" s="4" t="s">
        <v>7</v>
      </c>
      <c r="H54" s="4" t="s">
        <v>7</v>
      </c>
      <c r="I54" s="4" t="s">
        <v>7</v>
      </c>
      <c r="J54" s="4" t="s">
        <v>81</v>
      </c>
      <c r="K54" s="4" t="s">
        <v>81</v>
      </c>
      <c r="L54" s="4" t="s">
        <v>73</v>
      </c>
      <c r="M54" s="4" t="s">
        <v>81</v>
      </c>
      <c r="N54" s="4" t="s">
        <v>81</v>
      </c>
      <c r="O54" s="4" t="s">
        <v>81</v>
      </c>
    </row>
    <row r="55" spans="1:15" ht="16" customHeight="1" x14ac:dyDescent="0.35">
      <c r="A55" s="4" t="s">
        <v>54</v>
      </c>
      <c r="B55" s="4" t="s">
        <v>92</v>
      </c>
      <c r="C55" s="4" t="s">
        <v>8</v>
      </c>
      <c r="D55" s="4" t="s">
        <v>7</v>
      </c>
      <c r="E55" s="4" t="s">
        <v>8</v>
      </c>
      <c r="F55" s="4" t="s">
        <v>7</v>
      </c>
      <c r="G55" s="4" t="s">
        <v>7</v>
      </c>
      <c r="H55" s="4" t="s">
        <v>7</v>
      </c>
      <c r="I55" s="4" t="s">
        <v>7</v>
      </c>
      <c r="J55" s="4" t="s">
        <v>81</v>
      </c>
      <c r="K55" s="4" t="s">
        <v>81</v>
      </c>
      <c r="L55" s="4" t="s">
        <v>73</v>
      </c>
      <c r="M55" s="4" t="s">
        <v>81</v>
      </c>
      <c r="N55" s="4" t="s">
        <v>81</v>
      </c>
      <c r="O55" s="4" t="s">
        <v>81</v>
      </c>
    </row>
    <row r="56" spans="1:15" ht="16" customHeight="1" x14ac:dyDescent="0.35">
      <c r="A56" s="4" t="s">
        <v>11</v>
      </c>
      <c r="B56" s="4" t="s">
        <v>90</v>
      </c>
      <c r="C56" s="4" t="s">
        <v>10</v>
      </c>
      <c r="D56" s="4" t="s">
        <v>8</v>
      </c>
      <c r="E56" s="4" t="s">
        <v>8</v>
      </c>
      <c r="F56" s="4" t="s">
        <v>7</v>
      </c>
      <c r="G56" s="4" t="s">
        <v>7</v>
      </c>
      <c r="H56" s="4" t="s">
        <v>7</v>
      </c>
      <c r="I56" s="4" t="s">
        <v>7</v>
      </c>
      <c r="J56" s="4" t="s">
        <v>73</v>
      </c>
      <c r="K56" s="4" t="s">
        <v>73</v>
      </c>
      <c r="L56" s="4" t="s">
        <v>73</v>
      </c>
      <c r="M56" s="4" t="s">
        <v>73</v>
      </c>
      <c r="N56" s="4" t="s">
        <v>73</v>
      </c>
      <c r="O56" s="4" t="s">
        <v>73</v>
      </c>
    </row>
    <row r="57" spans="1:15" ht="16" customHeight="1" x14ac:dyDescent="0.35">
      <c r="A57" s="4" t="s">
        <v>88</v>
      </c>
      <c r="B57" s="4" t="s">
        <v>91</v>
      </c>
      <c r="C57" s="4" t="s">
        <v>10</v>
      </c>
      <c r="D57" s="4" t="s">
        <v>7</v>
      </c>
      <c r="E57" s="4" t="s">
        <v>10</v>
      </c>
      <c r="F57" s="4" t="s">
        <v>10</v>
      </c>
      <c r="G57" s="4" t="s">
        <v>8</v>
      </c>
      <c r="H57" s="4" t="s">
        <v>8</v>
      </c>
      <c r="I57" s="4" t="s">
        <v>10</v>
      </c>
      <c r="J57" s="4" t="s">
        <v>73</v>
      </c>
      <c r="K57" s="4" t="s">
        <v>73</v>
      </c>
      <c r="L57" s="4" t="s">
        <v>73</v>
      </c>
      <c r="M57" s="4" t="s">
        <v>73</v>
      </c>
      <c r="N57" s="4" t="s">
        <v>81</v>
      </c>
      <c r="O57" s="4" t="s">
        <v>73</v>
      </c>
    </row>
    <row r="58" spans="1:15" ht="16" customHeight="1" x14ac:dyDescent="0.35">
      <c r="A58" s="4" t="s">
        <v>78</v>
      </c>
      <c r="B58" s="4" t="s">
        <v>90</v>
      </c>
      <c r="C58" s="4" t="s">
        <v>10</v>
      </c>
      <c r="D58" s="4" t="s">
        <v>8</v>
      </c>
      <c r="E58" s="4" t="s">
        <v>10</v>
      </c>
      <c r="F58" s="4" t="s">
        <v>8</v>
      </c>
      <c r="G58" s="4" t="s">
        <v>8</v>
      </c>
      <c r="H58" s="4" t="s">
        <v>8</v>
      </c>
      <c r="I58" s="4" t="s">
        <v>8</v>
      </c>
      <c r="J58" s="4" t="s">
        <v>73</v>
      </c>
      <c r="K58" s="4" t="s">
        <v>73</v>
      </c>
      <c r="L58" s="4" t="s">
        <v>73</v>
      </c>
      <c r="M58" s="4" t="s">
        <v>73</v>
      </c>
      <c r="N58" s="4" t="s">
        <v>73</v>
      </c>
      <c r="O58" s="4" t="s">
        <v>73</v>
      </c>
    </row>
    <row r="59" spans="1:15" ht="16" customHeight="1" x14ac:dyDescent="0.35">
      <c r="A59" s="4" t="s">
        <v>22</v>
      </c>
      <c r="B59" s="4" t="s">
        <v>93</v>
      </c>
      <c r="C59" s="4" t="s">
        <v>8</v>
      </c>
      <c r="D59" s="4" t="s">
        <v>10</v>
      </c>
      <c r="E59" s="4" t="s">
        <v>7</v>
      </c>
      <c r="F59" s="4" t="s">
        <v>10</v>
      </c>
      <c r="G59" s="4" t="s">
        <v>10</v>
      </c>
      <c r="H59" s="4" t="s">
        <v>7</v>
      </c>
      <c r="I59" s="4" t="s">
        <v>10</v>
      </c>
      <c r="J59" s="4" t="s">
        <v>81</v>
      </c>
      <c r="K59" s="4" t="s">
        <v>73</v>
      </c>
      <c r="L59" s="4" t="s">
        <v>73</v>
      </c>
      <c r="M59" s="4" t="s">
        <v>81</v>
      </c>
      <c r="N59" s="4" t="s">
        <v>81</v>
      </c>
      <c r="O59" s="4" t="s">
        <v>81</v>
      </c>
    </row>
    <row r="60" spans="1:15" ht="16" customHeight="1" x14ac:dyDescent="0.35">
      <c r="A60" s="4" t="s">
        <v>57</v>
      </c>
      <c r="B60" s="4" t="s">
        <v>90</v>
      </c>
      <c r="C60" s="4" t="s">
        <v>7</v>
      </c>
      <c r="D60" s="4" t="s">
        <v>8</v>
      </c>
      <c r="E60" s="4" t="s">
        <v>10</v>
      </c>
      <c r="F60" s="4" t="s">
        <v>8</v>
      </c>
      <c r="G60" s="4" t="s">
        <v>8</v>
      </c>
      <c r="H60" s="4" t="s">
        <v>8</v>
      </c>
      <c r="I60" s="4" t="s">
        <v>8</v>
      </c>
      <c r="J60" s="4" t="s">
        <v>73</v>
      </c>
      <c r="K60" s="4" t="s">
        <v>73</v>
      </c>
      <c r="L60" s="4" t="s">
        <v>73</v>
      </c>
      <c r="M60" s="4" t="s">
        <v>73</v>
      </c>
      <c r="N60" s="4" t="s">
        <v>73</v>
      </c>
      <c r="O60" s="4" t="s">
        <v>73</v>
      </c>
    </row>
    <row r="61" spans="1:15" ht="16" customHeight="1" x14ac:dyDescent="0.35">
      <c r="A61" s="4" t="s">
        <v>89</v>
      </c>
      <c r="B61" s="4" t="s">
        <v>91</v>
      </c>
      <c r="C61" s="4" t="s">
        <v>10</v>
      </c>
      <c r="D61" s="4" t="s">
        <v>8</v>
      </c>
      <c r="E61" s="4" t="s">
        <v>10</v>
      </c>
      <c r="F61" s="4" t="s">
        <v>8</v>
      </c>
      <c r="G61" s="4" t="s">
        <v>8</v>
      </c>
      <c r="H61" s="4" t="s">
        <v>8</v>
      </c>
      <c r="I61" s="4" t="s">
        <v>8</v>
      </c>
      <c r="J61" s="4" t="s">
        <v>73</v>
      </c>
      <c r="K61" s="4" t="s">
        <v>73</v>
      </c>
      <c r="L61" s="4" t="s">
        <v>73</v>
      </c>
      <c r="M61" s="4" t="s">
        <v>73</v>
      </c>
      <c r="N61" s="4" t="s">
        <v>73</v>
      </c>
      <c r="O61" s="4" t="s">
        <v>73</v>
      </c>
    </row>
    <row r="62" spans="1:15" ht="16" customHeight="1" x14ac:dyDescent="0.35">
      <c r="A62" s="4" t="s">
        <v>37</v>
      </c>
      <c r="B62" s="4" t="s">
        <v>91</v>
      </c>
      <c r="C62" s="4" t="s">
        <v>10</v>
      </c>
      <c r="D62" s="4" t="s">
        <v>10</v>
      </c>
      <c r="E62" s="4" t="s">
        <v>7</v>
      </c>
      <c r="F62" s="4" t="s">
        <v>10</v>
      </c>
      <c r="G62" s="4" t="s">
        <v>8</v>
      </c>
      <c r="H62" s="4" t="s">
        <v>8</v>
      </c>
      <c r="I62" s="4" t="s">
        <v>7</v>
      </c>
      <c r="J62" s="4" t="s">
        <v>73</v>
      </c>
      <c r="K62" s="4" t="s">
        <v>73</v>
      </c>
      <c r="L62" s="4" t="s">
        <v>73</v>
      </c>
      <c r="M62" s="4" t="s">
        <v>81</v>
      </c>
      <c r="N62" s="4" t="s">
        <v>81</v>
      </c>
      <c r="O62" s="4" t="s">
        <v>73</v>
      </c>
    </row>
    <row r="63" spans="1:15" ht="16" customHeight="1" x14ac:dyDescent="0.35">
      <c r="A63" s="4" t="s">
        <v>34</v>
      </c>
      <c r="B63" s="4" t="s">
        <v>93</v>
      </c>
      <c r="C63" s="4" t="s">
        <v>8</v>
      </c>
      <c r="D63" s="4" t="s">
        <v>7</v>
      </c>
      <c r="E63" s="4" t="s">
        <v>7</v>
      </c>
      <c r="F63" s="4" t="s">
        <v>7</v>
      </c>
      <c r="G63" s="4" t="s">
        <v>8</v>
      </c>
      <c r="H63" s="4" t="s">
        <v>8</v>
      </c>
      <c r="I63" s="4" t="s">
        <v>7</v>
      </c>
      <c r="J63" s="4" t="s">
        <v>81</v>
      </c>
      <c r="K63" s="4" t="s">
        <v>81</v>
      </c>
      <c r="L63" s="4" t="s">
        <v>73</v>
      </c>
      <c r="M63" s="4" t="s">
        <v>81</v>
      </c>
      <c r="N63" s="4" t="s">
        <v>81</v>
      </c>
      <c r="O63" s="4" t="s">
        <v>73</v>
      </c>
    </row>
    <row r="64" spans="1:15" ht="16" customHeight="1" x14ac:dyDescent="0.35">
      <c r="A64" s="4" t="s">
        <v>29</v>
      </c>
      <c r="B64" s="4" t="s">
        <v>93</v>
      </c>
      <c r="C64" s="4" t="s">
        <v>8</v>
      </c>
      <c r="D64" s="4" t="s">
        <v>7</v>
      </c>
      <c r="E64" s="4" t="s">
        <v>7</v>
      </c>
      <c r="F64" s="4" t="s">
        <v>8</v>
      </c>
      <c r="G64" s="4" t="s">
        <v>10</v>
      </c>
      <c r="H64" s="4" t="s">
        <v>7</v>
      </c>
      <c r="I64" s="4" t="s">
        <v>10</v>
      </c>
      <c r="J64" s="4" t="s">
        <v>81</v>
      </c>
      <c r="K64" s="4" t="s">
        <v>81</v>
      </c>
      <c r="L64" s="4" t="s">
        <v>73</v>
      </c>
      <c r="M64" s="4" t="s">
        <v>81</v>
      </c>
      <c r="N64" s="4" t="s">
        <v>81</v>
      </c>
      <c r="O64" s="4" t="s">
        <v>81</v>
      </c>
    </row>
    <row r="65" spans="1:15" ht="16" customHeight="1" x14ac:dyDescent="0.35">
      <c r="A65" s="4" t="s">
        <v>40</v>
      </c>
      <c r="B65" s="4" t="s">
        <v>91</v>
      </c>
      <c r="C65" s="4" t="s">
        <v>8</v>
      </c>
      <c r="D65" s="4" t="s">
        <v>7</v>
      </c>
      <c r="E65" s="4" t="s">
        <v>7</v>
      </c>
      <c r="F65" s="4" t="s">
        <v>10</v>
      </c>
      <c r="G65" s="4" t="s">
        <v>8</v>
      </c>
      <c r="H65" s="4" t="s">
        <v>8</v>
      </c>
      <c r="I65" s="4" t="s">
        <v>7</v>
      </c>
      <c r="J65" s="4" t="s">
        <v>81</v>
      </c>
      <c r="K65" s="4" t="s">
        <v>81</v>
      </c>
      <c r="L65" s="4" t="s">
        <v>73</v>
      </c>
      <c r="M65" s="4" t="s">
        <v>81</v>
      </c>
      <c r="N65" s="4" t="s">
        <v>81</v>
      </c>
      <c r="O65" s="4" t="s">
        <v>81</v>
      </c>
    </row>
    <row r="66" spans="1:15" ht="16" customHeight="1" x14ac:dyDescent="0.35">
      <c r="A66" s="4" t="s">
        <v>59</v>
      </c>
      <c r="B66" s="4" t="s">
        <v>91</v>
      </c>
      <c r="C66" s="4" t="s">
        <v>10</v>
      </c>
      <c r="D66" s="4" t="s">
        <v>10</v>
      </c>
      <c r="E66" s="4" t="s">
        <v>7</v>
      </c>
      <c r="F66" s="4" t="s">
        <v>10</v>
      </c>
      <c r="G66" s="4" t="s">
        <v>8</v>
      </c>
      <c r="H66" s="4" t="s">
        <v>8</v>
      </c>
      <c r="I66" s="4" t="s">
        <v>7</v>
      </c>
      <c r="J66" s="4" t="s">
        <v>73</v>
      </c>
      <c r="K66" s="4" t="s">
        <v>81</v>
      </c>
      <c r="L66" s="4" t="s">
        <v>73</v>
      </c>
      <c r="M66" s="4" t="s">
        <v>81</v>
      </c>
      <c r="N66" s="4" t="s">
        <v>81</v>
      </c>
      <c r="O66" s="4" t="s">
        <v>73</v>
      </c>
    </row>
    <row r="67" spans="1:15" ht="16" customHeight="1" x14ac:dyDescent="0.35">
      <c r="A67" s="4" t="s">
        <v>21</v>
      </c>
      <c r="B67" s="4" t="s">
        <v>93</v>
      </c>
      <c r="C67" s="4" t="s">
        <v>8</v>
      </c>
      <c r="D67" s="4" t="s">
        <v>7</v>
      </c>
      <c r="E67" s="4" t="s">
        <v>7</v>
      </c>
      <c r="F67" s="4" t="s">
        <v>10</v>
      </c>
      <c r="G67" s="4" t="s">
        <v>8</v>
      </c>
      <c r="H67" s="4" t="s">
        <v>8</v>
      </c>
      <c r="I67" s="4" t="s">
        <v>7</v>
      </c>
      <c r="J67" s="4" t="s">
        <v>81</v>
      </c>
      <c r="K67" s="4" t="s">
        <v>81</v>
      </c>
      <c r="L67" s="4" t="s">
        <v>73</v>
      </c>
      <c r="M67" s="4" t="s">
        <v>81</v>
      </c>
      <c r="N67" s="4" t="s">
        <v>81</v>
      </c>
      <c r="O67" s="4" t="s">
        <v>73</v>
      </c>
    </row>
    <row r="68" spans="1:15" ht="16" customHeight="1" x14ac:dyDescent="0.35">
      <c r="A68" s="4" t="s">
        <v>55</v>
      </c>
      <c r="B68" s="4" t="s">
        <v>91</v>
      </c>
      <c r="C68" s="4" t="s">
        <v>7</v>
      </c>
      <c r="D68" s="4" t="s">
        <v>10</v>
      </c>
      <c r="E68" s="4" t="s">
        <v>10</v>
      </c>
      <c r="F68" s="4" t="s">
        <v>8</v>
      </c>
      <c r="G68" s="4" t="s">
        <v>8</v>
      </c>
      <c r="H68" s="4" t="s">
        <v>7</v>
      </c>
      <c r="I68" s="4" t="s">
        <v>8</v>
      </c>
      <c r="J68" s="4" t="s">
        <v>73</v>
      </c>
      <c r="K68" s="4" t="s">
        <v>73</v>
      </c>
      <c r="L68" s="4" t="s">
        <v>73</v>
      </c>
      <c r="M68" s="4" t="s">
        <v>73</v>
      </c>
      <c r="N68" s="4" t="s">
        <v>73</v>
      </c>
      <c r="O68" s="4" t="s">
        <v>73</v>
      </c>
    </row>
    <row r="69" spans="1:15" ht="16" customHeight="1" x14ac:dyDescent="0.35">
      <c r="A69" s="4" t="s">
        <v>62</v>
      </c>
      <c r="B69" s="4" t="s">
        <v>93</v>
      </c>
      <c r="C69" s="4" t="s">
        <v>8</v>
      </c>
      <c r="D69" s="4" t="s">
        <v>7</v>
      </c>
      <c r="E69" s="4" t="s">
        <v>7</v>
      </c>
      <c r="F69" s="4" t="s">
        <v>7</v>
      </c>
      <c r="G69" s="4" t="s">
        <v>10</v>
      </c>
      <c r="H69" s="4" t="s">
        <v>8</v>
      </c>
      <c r="I69" s="4" t="s">
        <v>7</v>
      </c>
      <c r="J69" s="4" t="s">
        <v>81</v>
      </c>
      <c r="K69" s="4" t="s">
        <v>81</v>
      </c>
      <c r="L69" s="4" t="s">
        <v>81</v>
      </c>
      <c r="M69" s="4" t="s">
        <v>81</v>
      </c>
      <c r="N69" s="4" t="s">
        <v>81</v>
      </c>
      <c r="O69" s="4" t="s">
        <v>81</v>
      </c>
    </row>
    <row r="70" spans="1:15" ht="16" customHeight="1" x14ac:dyDescent="0.35">
      <c r="A70" s="4" t="s">
        <v>61</v>
      </c>
      <c r="B70" s="4" t="s">
        <v>93</v>
      </c>
      <c r="C70" s="4" t="s">
        <v>8</v>
      </c>
      <c r="D70" s="4" t="s">
        <v>7</v>
      </c>
      <c r="E70" s="4" t="s">
        <v>7</v>
      </c>
      <c r="F70" s="4" t="s">
        <v>7</v>
      </c>
      <c r="G70" s="4" t="s">
        <v>10</v>
      </c>
      <c r="H70" s="4" t="s">
        <v>8</v>
      </c>
      <c r="I70" s="4" t="s">
        <v>7</v>
      </c>
      <c r="J70" s="4" t="s">
        <v>81</v>
      </c>
      <c r="K70" s="4" t="s">
        <v>81</v>
      </c>
      <c r="L70" s="4" t="s">
        <v>81</v>
      </c>
      <c r="M70" s="4" t="s">
        <v>81</v>
      </c>
      <c r="N70" s="4" t="s">
        <v>81</v>
      </c>
      <c r="O70" s="4" t="s">
        <v>81</v>
      </c>
    </row>
    <row r="71" spans="1:15" ht="16" customHeight="1" x14ac:dyDescent="0.35">
      <c r="A71" s="4" t="s">
        <v>16</v>
      </c>
      <c r="B71" s="4" t="s">
        <v>93</v>
      </c>
      <c r="C71" s="4" t="s">
        <v>8</v>
      </c>
      <c r="D71" s="4" t="s">
        <v>10</v>
      </c>
      <c r="E71" s="4" t="s">
        <v>7</v>
      </c>
      <c r="F71" s="4" t="s">
        <v>10</v>
      </c>
      <c r="G71" s="4" t="s">
        <v>8</v>
      </c>
      <c r="H71" s="4" t="s">
        <v>8</v>
      </c>
      <c r="I71" s="4" t="s">
        <v>8</v>
      </c>
      <c r="J71" s="4" t="s">
        <v>81</v>
      </c>
      <c r="K71" s="4" t="s">
        <v>81</v>
      </c>
      <c r="L71" s="4" t="s">
        <v>73</v>
      </c>
      <c r="M71" s="4" t="s">
        <v>81</v>
      </c>
      <c r="N71" s="4" t="s">
        <v>81</v>
      </c>
      <c r="O71" s="4" t="s">
        <v>81</v>
      </c>
    </row>
    <row r="72" spans="1:15" ht="16" customHeight="1" x14ac:dyDescent="0.35">
      <c r="A72" s="4" t="s">
        <v>13</v>
      </c>
      <c r="B72" s="4" t="s">
        <v>90</v>
      </c>
      <c r="C72" s="4" t="s">
        <v>7</v>
      </c>
      <c r="D72" s="4" t="s">
        <v>8</v>
      </c>
      <c r="E72" s="4" t="s">
        <v>10</v>
      </c>
      <c r="F72" s="4" t="s">
        <v>8</v>
      </c>
      <c r="G72" s="4" t="s">
        <v>8</v>
      </c>
      <c r="H72" s="4" t="s">
        <v>8</v>
      </c>
      <c r="I72" s="4" t="s">
        <v>8</v>
      </c>
      <c r="J72" s="4" t="s">
        <v>73</v>
      </c>
      <c r="K72" s="4" t="s">
        <v>73</v>
      </c>
      <c r="L72" s="4" t="s">
        <v>73</v>
      </c>
      <c r="M72" s="4" t="s">
        <v>73</v>
      </c>
      <c r="N72" s="4" t="s">
        <v>73</v>
      </c>
      <c r="O72" s="4" t="s">
        <v>73</v>
      </c>
    </row>
    <row r="73" spans="1:15" ht="16" customHeight="1" x14ac:dyDescent="0.35">
      <c r="A73" s="4" t="s">
        <v>30</v>
      </c>
      <c r="B73" s="4" t="s">
        <v>92</v>
      </c>
      <c r="C73" s="4" t="s">
        <v>10</v>
      </c>
      <c r="D73" s="4" t="s">
        <v>10</v>
      </c>
      <c r="E73" s="4" t="s">
        <v>7</v>
      </c>
      <c r="F73" s="4" t="s">
        <v>10</v>
      </c>
      <c r="G73" s="4" t="s">
        <v>8</v>
      </c>
      <c r="H73" s="4" t="s">
        <v>8</v>
      </c>
      <c r="I73" s="4" t="s">
        <v>10</v>
      </c>
      <c r="J73" s="4" t="s">
        <v>81</v>
      </c>
      <c r="K73" s="4" t="s">
        <v>73</v>
      </c>
      <c r="L73" s="4" t="s">
        <v>73</v>
      </c>
      <c r="M73" s="4" t="s">
        <v>73</v>
      </c>
      <c r="N73" s="4" t="s">
        <v>81</v>
      </c>
      <c r="O73" s="4" t="s">
        <v>73</v>
      </c>
    </row>
    <row r="74" spans="1:15" ht="16" customHeight="1" x14ac:dyDescent="0.35">
      <c r="A74" s="4" t="s">
        <v>17</v>
      </c>
      <c r="B74" s="4" t="s">
        <v>93</v>
      </c>
      <c r="C74" s="4" t="s">
        <v>8</v>
      </c>
      <c r="D74" s="4" t="s">
        <v>10</v>
      </c>
      <c r="E74" s="4" t="s">
        <v>7</v>
      </c>
      <c r="F74" s="4" t="s">
        <v>7</v>
      </c>
      <c r="G74" s="4" t="s">
        <v>10</v>
      </c>
      <c r="H74" s="4" t="s">
        <v>8</v>
      </c>
      <c r="I74" s="4" t="s">
        <v>7</v>
      </c>
      <c r="J74" s="4" t="s">
        <v>81</v>
      </c>
      <c r="K74" s="4" t="s">
        <v>81</v>
      </c>
      <c r="L74" s="4" t="s">
        <v>73</v>
      </c>
      <c r="M74" s="4" t="s">
        <v>81</v>
      </c>
      <c r="N74" s="4" t="s">
        <v>81</v>
      </c>
      <c r="O74" s="4" t="s">
        <v>81</v>
      </c>
    </row>
  </sheetData>
  <autoFilter ref="A1:O74" xr:uid="{AC38049B-B98A-4236-9642-BA3B6891154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C88A-4F8C-4A9A-855A-E3C2FE8A06C1}">
  <dimension ref="A1:O5"/>
  <sheetViews>
    <sheetView zoomScale="70" zoomScaleNormal="70" workbookViewId="0">
      <selection activeCell="P28" sqref="P28"/>
    </sheetView>
  </sheetViews>
  <sheetFormatPr defaultRowHeight="14.5" x14ac:dyDescent="0.35"/>
  <cols>
    <col min="1" max="2" width="15.7265625" style="3" customWidth="1"/>
    <col min="3" max="3" width="11.36328125" style="5" customWidth="1"/>
    <col min="4" max="4" width="13" style="3" customWidth="1"/>
    <col min="5" max="5" width="12.453125" style="3" customWidth="1"/>
    <col min="6" max="6" width="12.1796875" style="3" customWidth="1"/>
    <col min="7" max="7" width="13.36328125" style="3" customWidth="1"/>
    <col min="8" max="8" width="14.7265625" style="3" customWidth="1"/>
    <col min="9" max="9" width="12.81640625" style="3" customWidth="1"/>
    <col min="10" max="16384" width="8.7265625" style="3"/>
  </cols>
  <sheetData>
    <row r="1" spans="1:15" x14ac:dyDescent="0.35">
      <c r="B1" s="3" t="s">
        <v>140</v>
      </c>
      <c r="C1" s="5" t="s">
        <v>139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98</v>
      </c>
      <c r="I1" s="3" t="s">
        <v>99</v>
      </c>
      <c r="K1" s="3" t="s">
        <v>140</v>
      </c>
      <c r="N1" s="3" t="s">
        <v>150</v>
      </c>
      <c r="O1" s="3" t="s">
        <v>96</v>
      </c>
    </row>
    <row r="2" spans="1:15" x14ac:dyDescent="0.35">
      <c r="A2" s="3" t="s">
        <v>90</v>
      </c>
      <c r="B2" s="5">
        <v>14</v>
      </c>
      <c r="C2" s="5">
        <f>SUM(D2:I2)/6</f>
        <v>26.833333333333332</v>
      </c>
      <c r="D2" s="3">
        <v>17</v>
      </c>
      <c r="E2" s="3">
        <v>17</v>
      </c>
      <c r="F2" s="3">
        <v>40</v>
      </c>
      <c r="G2" s="3">
        <v>30</v>
      </c>
      <c r="H2" s="3">
        <v>17</v>
      </c>
      <c r="I2" s="3">
        <v>40</v>
      </c>
      <c r="K2" s="5">
        <v>14</v>
      </c>
      <c r="M2" s="3" t="s">
        <v>90</v>
      </c>
      <c r="N2" s="3">
        <v>14</v>
      </c>
      <c r="O2" s="3">
        <v>16</v>
      </c>
    </row>
    <row r="3" spans="1:15" x14ac:dyDescent="0.35">
      <c r="A3" s="3" t="s">
        <v>91</v>
      </c>
      <c r="B3" s="5">
        <v>9</v>
      </c>
      <c r="C3" s="5">
        <f>SUM(D3:I3)/6</f>
        <v>20.833333333333332</v>
      </c>
      <c r="D3" s="3">
        <v>12</v>
      </c>
      <c r="E3" s="3">
        <v>18</v>
      </c>
      <c r="F3" s="3">
        <v>30</v>
      </c>
      <c r="G3" s="3">
        <v>25</v>
      </c>
      <c r="H3" s="3">
        <v>10</v>
      </c>
      <c r="I3" s="3">
        <v>30</v>
      </c>
      <c r="K3" s="5">
        <v>9</v>
      </c>
      <c r="M3" s="3" t="s">
        <v>91</v>
      </c>
      <c r="N3" s="3">
        <v>8</v>
      </c>
      <c r="O3" s="3">
        <v>15</v>
      </c>
    </row>
    <row r="4" spans="1:15" x14ac:dyDescent="0.35">
      <c r="A4" s="3" t="s">
        <v>92</v>
      </c>
      <c r="B4" s="5">
        <v>3</v>
      </c>
      <c r="C4" s="5">
        <f>SUM(D4:I4)/6</f>
        <v>19.166666666666668</v>
      </c>
      <c r="D4" s="3">
        <v>10</v>
      </c>
      <c r="E4" s="3">
        <v>18</v>
      </c>
      <c r="F4" s="3">
        <v>25</v>
      </c>
      <c r="G4" s="3">
        <v>30</v>
      </c>
      <c r="H4" s="3">
        <v>7</v>
      </c>
      <c r="I4" s="3">
        <v>25</v>
      </c>
      <c r="K4" s="5">
        <v>3</v>
      </c>
      <c r="M4" s="3" t="s">
        <v>92</v>
      </c>
      <c r="N4" s="3">
        <v>5</v>
      </c>
      <c r="O4" s="3">
        <v>5</v>
      </c>
    </row>
    <row r="5" spans="1:15" x14ac:dyDescent="0.35">
      <c r="A5" s="3" t="s">
        <v>93</v>
      </c>
      <c r="B5" s="5">
        <v>0</v>
      </c>
      <c r="C5" s="5">
        <f>SUM(D5:I5)/6</f>
        <v>7.166666666666667</v>
      </c>
      <c r="D5" s="3">
        <v>2</v>
      </c>
      <c r="E5" s="3">
        <v>16</v>
      </c>
      <c r="F5" s="3">
        <v>5</v>
      </c>
      <c r="G5" s="3">
        <v>15</v>
      </c>
      <c r="H5" s="3">
        <v>0</v>
      </c>
      <c r="I5" s="3">
        <v>5</v>
      </c>
      <c r="K5" s="5">
        <v>0</v>
      </c>
      <c r="M5" s="3" t="s">
        <v>93</v>
      </c>
      <c r="N5" s="3">
        <v>0</v>
      </c>
      <c r="O5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4E17E-B149-47AB-9234-53B0C0E38DED}">
  <dimension ref="A3:B7"/>
  <sheetViews>
    <sheetView workbookViewId="0">
      <selection activeCell="B17" sqref="B17"/>
    </sheetView>
  </sheetViews>
  <sheetFormatPr defaultRowHeight="14.5" x14ac:dyDescent="0.35"/>
  <cols>
    <col min="1" max="1" width="13.90625" style="3" bestFit="1" customWidth="1"/>
    <col min="2" max="2" width="13.6328125" style="3" bestFit="1" customWidth="1"/>
    <col min="3" max="16384" width="8.7265625" style="3"/>
  </cols>
  <sheetData>
    <row r="3" spans="1:2" x14ac:dyDescent="0.35">
      <c r="A3" s="6" t="s">
        <v>105</v>
      </c>
      <c r="B3" s="3" t="s">
        <v>132</v>
      </c>
    </row>
    <row r="4" spans="1:2" x14ac:dyDescent="0.35">
      <c r="A4" s="3" t="s">
        <v>8</v>
      </c>
      <c r="B4" s="3">
        <v>1</v>
      </c>
    </row>
    <row r="5" spans="1:2" x14ac:dyDescent="0.35">
      <c r="A5" s="3" t="s">
        <v>7</v>
      </c>
      <c r="B5" s="3">
        <v>3</v>
      </c>
    </row>
    <row r="6" spans="1:2" x14ac:dyDescent="0.35">
      <c r="A6" s="3" t="s">
        <v>10</v>
      </c>
      <c r="B6" s="3">
        <v>1</v>
      </c>
    </row>
    <row r="7" spans="1:2" x14ac:dyDescent="0.35">
      <c r="A7" s="3" t="s">
        <v>121</v>
      </c>
      <c r="B7" s="3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7D32D-6937-473B-93CE-2B6AE8F51772}">
  <dimension ref="A1:L7"/>
  <sheetViews>
    <sheetView zoomScale="70" zoomScaleNormal="70" workbookViewId="0">
      <selection activeCell="D25" sqref="D25"/>
    </sheetView>
  </sheetViews>
  <sheetFormatPr defaultRowHeight="14.5" x14ac:dyDescent="0.35"/>
  <cols>
    <col min="1" max="1" width="11.36328125" style="3" customWidth="1"/>
    <col min="2" max="2" width="21.453125" style="3" customWidth="1"/>
    <col min="3" max="3" width="13.90625" style="3" customWidth="1"/>
    <col min="4" max="4" width="11.54296875" style="3" customWidth="1"/>
    <col min="5" max="5" width="12.54296875" style="3" customWidth="1"/>
    <col min="6" max="6" width="13.36328125" style="3" customWidth="1"/>
    <col min="7" max="7" width="21.26953125" style="3" customWidth="1"/>
    <col min="8" max="8" width="12.08984375" style="3" customWidth="1"/>
    <col min="9" max="9" width="16.1796875" style="3" customWidth="1"/>
    <col min="10" max="10" width="15.7265625" style="3" customWidth="1"/>
    <col min="11" max="11" width="15.6328125" style="3" customWidth="1"/>
    <col min="12" max="12" width="23.1796875" style="3" customWidth="1"/>
    <col min="13" max="16384" width="8.7265625" style="3"/>
  </cols>
  <sheetData>
    <row r="1" spans="1:12" ht="54" customHeight="1" x14ac:dyDescent="0.35">
      <c r="A1" s="2" t="s">
        <v>100</v>
      </c>
      <c r="B1" s="2" t="s">
        <v>101</v>
      </c>
      <c r="C1" s="2" t="s">
        <v>102</v>
      </c>
      <c r="D1" s="2" t="s">
        <v>103</v>
      </c>
      <c r="E1" s="2" t="s">
        <v>104</v>
      </c>
      <c r="F1" s="2" t="s">
        <v>105</v>
      </c>
      <c r="G1" s="2" t="s">
        <v>106</v>
      </c>
      <c r="H1" s="2" t="s">
        <v>107</v>
      </c>
      <c r="I1" s="2" t="s">
        <v>108</v>
      </c>
      <c r="J1" s="2" t="s">
        <v>19</v>
      </c>
      <c r="K1" s="2" t="s">
        <v>109</v>
      </c>
      <c r="L1" s="2" t="s">
        <v>110</v>
      </c>
    </row>
    <row r="2" spans="1:12" x14ac:dyDescent="0.35">
      <c r="A2" s="4" t="s">
        <v>99</v>
      </c>
      <c r="B2" s="4" t="s">
        <v>111</v>
      </c>
      <c r="C2" s="4" t="s">
        <v>7</v>
      </c>
      <c r="D2" s="4" t="s">
        <v>10</v>
      </c>
      <c r="E2" s="4" t="s">
        <v>7</v>
      </c>
      <c r="F2" s="4" t="s">
        <v>7</v>
      </c>
      <c r="G2" s="4" t="s">
        <v>81</v>
      </c>
      <c r="H2" s="4" t="s">
        <v>81</v>
      </c>
      <c r="I2" s="4" t="s">
        <v>112</v>
      </c>
      <c r="J2" s="4" t="s">
        <v>81</v>
      </c>
      <c r="K2" s="4" t="s">
        <v>85</v>
      </c>
      <c r="L2" s="4" t="s">
        <v>113</v>
      </c>
    </row>
    <row r="3" spans="1:12" ht="29" x14ac:dyDescent="0.35">
      <c r="A3" s="4" t="s">
        <v>94</v>
      </c>
      <c r="B3" s="4" t="s">
        <v>10</v>
      </c>
      <c r="C3" s="4" t="s">
        <v>8</v>
      </c>
      <c r="D3" s="4" t="s">
        <v>10</v>
      </c>
      <c r="E3" s="4" t="s">
        <v>10</v>
      </c>
      <c r="F3" s="4" t="s">
        <v>10</v>
      </c>
      <c r="G3" s="4" t="s">
        <v>81</v>
      </c>
      <c r="H3" s="4" t="s">
        <v>81</v>
      </c>
      <c r="I3" s="4" t="s">
        <v>85</v>
      </c>
      <c r="J3" s="4" t="s">
        <v>81</v>
      </c>
      <c r="K3" s="4" t="s">
        <v>114</v>
      </c>
      <c r="L3" s="4" t="s">
        <v>115</v>
      </c>
    </row>
    <row r="4" spans="1:12" ht="43.5" x14ac:dyDescent="0.35">
      <c r="A4" s="4" t="s">
        <v>98</v>
      </c>
      <c r="B4" s="4" t="s">
        <v>116</v>
      </c>
      <c r="C4" s="4" t="s">
        <v>7</v>
      </c>
      <c r="D4" s="4" t="s">
        <v>10</v>
      </c>
      <c r="E4" s="4" t="s">
        <v>7</v>
      </c>
      <c r="F4" s="4" t="s">
        <v>7</v>
      </c>
      <c r="G4" s="4" t="s">
        <v>81</v>
      </c>
      <c r="H4" s="4" t="s">
        <v>81</v>
      </c>
      <c r="I4" s="4" t="s">
        <v>81</v>
      </c>
      <c r="J4" s="4" t="s">
        <v>81</v>
      </c>
      <c r="K4" s="4" t="s">
        <v>85</v>
      </c>
      <c r="L4" s="4" t="s">
        <v>117</v>
      </c>
    </row>
    <row r="5" spans="1:12" ht="29" x14ac:dyDescent="0.35">
      <c r="A5" s="4" t="s">
        <v>96</v>
      </c>
      <c r="B5" s="4" t="s">
        <v>116</v>
      </c>
      <c r="C5" s="4" t="s">
        <v>7</v>
      </c>
      <c r="D5" s="4" t="s">
        <v>10</v>
      </c>
      <c r="E5" s="4" t="s">
        <v>7</v>
      </c>
      <c r="F5" s="4" t="s">
        <v>7</v>
      </c>
      <c r="G5" s="4" t="s">
        <v>81</v>
      </c>
      <c r="H5" s="4" t="s">
        <v>81</v>
      </c>
      <c r="I5" s="4" t="s">
        <v>85</v>
      </c>
      <c r="J5" s="4" t="s">
        <v>81</v>
      </c>
      <c r="K5" s="4" t="s">
        <v>85</v>
      </c>
      <c r="L5" s="4" t="s">
        <v>118</v>
      </c>
    </row>
    <row r="6" spans="1:12" ht="29" x14ac:dyDescent="0.35">
      <c r="A6" s="4" t="s">
        <v>119</v>
      </c>
      <c r="B6" s="4" t="s">
        <v>120</v>
      </c>
      <c r="C6" s="4" t="s">
        <v>7</v>
      </c>
      <c r="D6" s="4" t="s">
        <v>10</v>
      </c>
      <c r="E6" s="4" t="s">
        <v>121</v>
      </c>
      <c r="F6" s="4" t="s">
        <v>121</v>
      </c>
      <c r="G6" s="4" t="s">
        <v>122</v>
      </c>
      <c r="H6" s="4" t="s">
        <v>73</v>
      </c>
      <c r="I6" s="4" t="s">
        <v>73</v>
      </c>
      <c r="J6" s="4" t="s">
        <v>123</v>
      </c>
      <c r="K6" s="4" t="s">
        <v>124</v>
      </c>
      <c r="L6" s="4" t="s">
        <v>125</v>
      </c>
    </row>
    <row r="7" spans="1:12" ht="29" x14ac:dyDescent="0.35">
      <c r="A7" s="4" t="s">
        <v>126</v>
      </c>
      <c r="B7" s="4" t="s">
        <v>127</v>
      </c>
      <c r="C7" s="4" t="s">
        <v>7</v>
      </c>
      <c r="D7" s="4" t="s">
        <v>121</v>
      </c>
      <c r="E7" s="4" t="s">
        <v>8</v>
      </c>
      <c r="F7" s="4" t="s">
        <v>8</v>
      </c>
      <c r="G7" s="4" t="s">
        <v>128</v>
      </c>
      <c r="H7" s="4" t="s">
        <v>73</v>
      </c>
      <c r="I7" s="4" t="s">
        <v>129</v>
      </c>
      <c r="J7" s="4" t="s">
        <v>73</v>
      </c>
      <c r="K7" s="4" t="s">
        <v>130</v>
      </c>
      <c r="L7" s="4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E228E-6547-41FB-AE52-7B465838F994}">
  <dimension ref="A1:J7"/>
  <sheetViews>
    <sheetView workbookViewId="0">
      <selection activeCell="B1" sqref="B1"/>
    </sheetView>
  </sheetViews>
  <sheetFormatPr defaultRowHeight="14.5" x14ac:dyDescent="0.35"/>
  <cols>
    <col min="1" max="1" width="8.7265625" style="3"/>
    <col min="2" max="2" width="10.08984375" style="3" customWidth="1"/>
    <col min="3" max="3" width="9.81640625" style="3" customWidth="1"/>
    <col min="4" max="6" width="8.81640625" style="3" bestFit="1" customWidth="1"/>
    <col min="7" max="9" width="8.7265625" style="3"/>
    <col min="10" max="10" width="9.6328125" style="3" bestFit="1" customWidth="1"/>
    <col min="11" max="16384" width="8.7265625" style="3"/>
  </cols>
  <sheetData>
    <row r="1" spans="1:10" ht="43.5" x14ac:dyDescent="0.35">
      <c r="A1" s="2"/>
      <c r="B1" s="2" t="s">
        <v>134</v>
      </c>
      <c r="C1" s="2" t="s">
        <v>135</v>
      </c>
      <c r="D1" s="2" t="s">
        <v>136</v>
      </c>
      <c r="E1" s="2" t="s">
        <v>137</v>
      </c>
      <c r="F1" s="2" t="s">
        <v>138</v>
      </c>
      <c r="J1" s="2" t="s">
        <v>133</v>
      </c>
    </row>
    <row r="2" spans="1:10" ht="29" x14ac:dyDescent="0.35">
      <c r="A2" s="4" t="s">
        <v>126</v>
      </c>
      <c r="B2" s="7">
        <v>0.02</v>
      </c>
      <c r="C2" s="7">
        <v>0.16</v>
      </c>
      <c r="D2" s="8">
        <v>2400</v>
      </c>
      <c r="E2" s="4">
        <v>320</v>
      </c>
      <c r="F2" s="4">
        <v>45</v>
      </c>
      <c r="J2" s="8">
        <v>1250000</v>
      </c>
    </row>
    <row r="3" spans="1:10" ht="29" x14ac:dyDescent="0.35">
      <c r="A3" s="4" t="s">
        <v>119</v>
      </c>
      <c r="B3" s="7">
        <v>0.01</v>
      </c>
      <c r="C3" s="7">
        <v>0.14000000000000001</v>
      </c>
      <c r="D3" s="4">
        <v>320</v>
      </c>
      <c r="E3" s="4">
        <v>40</v>
      </c>
      <c r="F3" s="4">
        <v>8</v>
      </c>
      <c r="J3" s="8">
        <v>210000</v>
      </c>
    </row>
    <row r="4" spans="1:10" x14ac:dyDescent="0.35">
      <c r="A4" s="4" t="s">
        <v>94</v>
      </c>
      <c r="B4" s="7">
        <v>0.12</v>
      </c>
      <c r="C4" s="7">
        <v>0.13</v>
      </c>
      <c r="D4" s="4">
        <v>180</v>
      </c>
      <c r="E4" s="4">
        <v>22</v>
      </c>
      <c r="F4" s="4">
        <v>4</v>
      </c>
      <c r="J4" s="8">
        <v>150000</v>
      </c>
    </row>
    <row r="5" spans="1:10" x14ac:dyDescent="0.35">
      <c r="A5" s="4" t="s">
        <v>99</v>
      </c>
      <c r="B5" s="7">
        <v>0.01</v>
      </c>
      <c r="C5" s="7">
        <v>0.15</v>
      </c>
      <c r="D5" s="4">
        <v>60</v>
      </c>
      <c r="E5" s="4">
        <v>6</v>
      </c>
      <c r="F5" s="4">
        <v>2</v>
      </c>
      <c r="J5" s="8">
        <v>55000</v>
      </c>
    </row>
    <row r="6" spans="1:10" x14ac:dyDescent="0.35">
      <c r="A6" s="4" t="s">
        <v>98</v>
      </c>
      <c r="B6" s="7">
        <v>0.01</v>
      </c>
      <c r="C6" s="7">
        <v>0.16</v>
      </c>
      <c r="D6" s="4">
        <v>48</v>
      </c>
      <c r="E6" s="4">
        <v>4</v>
      </c>
      <c r="F6" s="4">
        <v>1</v>
      </c>
      <c r="J6" s="8">
        <v>45000</v>
      </c>
    </row>
    <row r="7" spans="1:10" x14ac:dyDescent="0.35">
      <c r="A7" s="4" t="s">
        <v>96</v>
      </c>
      <c r="B7" s="7">
        <v>0.01</v>
      </c>
      <c r="C7" s="7">
        <v>0.16</v>
      </c>
      <c r="D7" s="4">
        <v>42</v>
      </c>
      <c r="E7" s="4">
        <v>3</v>
      </c>
      <c r="F7" s="4">
        <v>1</v>
      </c>
      <c r="J7" s="8">
        <v>40000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9D9F9-00B7-4806-895B-1FEDCCFBA5A9}">
  <dimension ref="A1:AB9"/>
  <sheetViews>
    <sheetView workbookViewId="0">
      <selection activeCell="X14" sqref="X14"/>
    </sheetView>
  </sheetViews>
  <sheetFormatPr defaultRowHeight="14.5" x14ac:dyDescent="0.35"/>
  <cols>
    <col min="1" max="1" width="11.6328125" bestFit="1" customWidth="1"/>
    <col min="2" max="2" width="11.90625" customWidth="1"/>
    <col min="3" max="3" width="9.453125" bestFit="1" customWidth="1"/>
    <col min="4" max="4" width="12.7265625" style="10" bestFit="1" customWidth="1"/>
    <col min="5" max="5" width="10.36328125" bestFit="1" customWidth="1"/>
    <col min="6" max="6" width="12.6328125" style="11" customWidth="1"/>
    <col min="7" max="7" width="9.54296875" customWidth="1"/>
    <col min="8" max="8" width="11.08984375" style="10" customWidth="1"/>
    <col min="9" max="9" width="10.453125" style="10" customWidth="1"/>
    <col min="10" max="10" width="7.54296875" customWidth="1"/>
    <col min="11" max="11" width="8.90625" style="10" customWidth="1"/>
    <col min="12" max="12" width="10" style="10" bestFit="1" customWidth="1"/>
    <col min="13" max="13" width="8.7265625" style="10"/>
    <col min="14" max="14" width="10.453125" style="10" customWidth="1"/>
    <col min="15" max="15" width="10.90625" style="10" customWidth="1"/>
    <col min="16" max="16" width="9.453125" style="10" customWidth="1"/>
    <col min="17" max="17" width="11.08984375" style="10" customWidth="1"/>
    <col min="18" max="18" width="10" style="10" bestFit="1" customWidth="1"/>
    <col min="19" max="19" width="21.08984375" style="10" bestFit="1" customWidth="1"/>
    <col min="20" max="20" width="20.08984375" style="10" bestFit="1" customWidth="1"/>
    <col min="21" max="21" width="15.6328125" style="10" bestFit="1" customWidth="1"/>
    <col min="22" max="22" width="19.1796875" style="10" bestFit="1" customWidth="1"/>
    <col min="23" max="23" width="22.81640625" style="10" bestFit="1" customWidth="1"/>
    <col min="24" max="24" width="19.7265625" style="10" bestFit="1" customWidth="1"/>
    <col min="25" max="25" width="21.7265625" style="10" bestFit="1" customWidth="1"/>
    <col min="26" max="26" width="19.90625" style="10" bestFit="1" customWidth="1"/>
    <col min="28" max="28" width="8.7265625" style="14"/>
  </cols>
  <sheetData>
    <row r="1" spans="1:28" x14ac:dyDescent="0.35">
      <c r="A1" t="s">
        <v>142</v>
      </c>
      <c r="B1" t="s">
        <v>151</v>
      </c>
      <c r="C1" t="s">
        <v>143</v>
      </c>
      <c r="D1" s="10" t="s">
        <v>152</v>
      </c>
      <c r="E1" t="s">
        <v>145</v>
      </c>
      <c r="F1" s="11" t="s">
        <v>153</v>
      </c>
      <c r="G1" t="s">
        <v>146</v>
      </c>
      <c r="H1" s="10" t="s">
        <v>154</v>
      </c>
      <c r="I1" s="10" t="s">
        <v>155</v>
      </c>
      <c r="J1" t="s">
        <v>147</v>
      </c>
      <c r="K1" s="10" t="s">
        <v>156</v>
      </c>
      <c r="L1" s="10" t="s">
        <v>157</v>
      </c>
      <c r="M1" s="10" t="s">
        <v>159</v>
      </c>
      <c r="N1" s="10" t="s">
        <v>160</v>
      </c>
      <c r="O1" s="10" t="s">
        <v>161</v>
      </c>
      <c r="P1" s="10" t="s">
        <v>162</v>
      </c>
      <c r="Q1" s="10" t="s">
        <v>163</v>
      </c>
      <c r="R1" s="10" t="s">
        <v>164</v>
      </c>
      <c r="S1" s="10" t="s">
        <v>165</v>
      </c>
      <c r="T1" s="10" t="s">
        <v>166</v>
      </c>
      <c r="U1" s="10" t="s">
        <v>168</v>
      </c>
      <c r="V1" s="10" t="s">
        <v>167</v>
      </c>
      <c r="W1" s="10" t="s">
        <v>169</v>
      </c>
      <c r="X1" s="10" t="s">
        <v>170</v>
      </c>
      <c r="Y1" s="10" t="s">
        <v>171</v>
      </c>
      <c r="Z1" s="10" t="s">
        <v>172</v>
      </c>
      <c r="AB1" s="13" t="s">
        <v>173</v>
      </c>
    </row>
    <row r="2" spans="1:28" x14ac:dyDescent="0.35">
      <c r="A2" t="s">
        <v>99</v>
      </c>
      <c r="B2">
        <v>18.399999999999999</v>
      </c>
      <c r="C2" s="9">
        <v>18729</v>
      </c>
      <c r="D2" s="10">
        <v>0.54600000000000004</v>
      </c>
      <c r="E2" s="9">
        <v>7371</v>
      </c>
      <c r="F2" s="11">
        <v>55550</v>
      </c>
      <c r="G2" s="9">
        <v>9021</v>
      </c>
      <c r="H2" s="10">
        <v>0.23499999999999999</v>
      </c>
      <c r="I2" s="10">
        <v>0.154</v>
      </c>
      <c r="J2">
        <v>33.5</v>
      </c>
      <c r="K2" s="10">
        <v>0.16900000000000001</v>
      </c>
      <c r="L2" s="10">
        <v>0.13300000000000001</v>
      </c>
      <c r="M2" s="10">
        <v>0.17299999999999999</v>
      </c>
      <c r="N2" s="10">
        <v>0.71599999999999997</v>
      </c>
      <c r="O2" s="10">
        <v>0.182</v>
      </c>
      <c r="P2" s="10">
        <v>0.55900000000000005</v>
      </c>
      <c r="Q2" s="10">
        <v>0.155</v>
      </c>
      <c r="R2" s="10">
        <v>0.253</v>
      </c>
      <c r="S2" s="10">
        <v>0.14499999999999999</v>
      </c>
      <c r="T2" s="10">
        <v>0.13600000000000001</v>
      </c>
      <c r="U2" s="10">
        <v>0.13100000000000001</v>
      </c>
      <c r="V2" s="10">
        <v>0.10199999999999999</v>
      </c>
      <c r="W2" s="10">
        <v>8.5000000000000006E-2</v>
      </c>
      <c r="X2" s="10">
        <v>7.1999999999999995E-2</v>
      </c>
      <c r="Y2" s="10">
        <v>7.0000000000000007E-2</v>
      </c>
      <c r="Z2" s="10">
        <v>3.9E-2</v>
      </c>
      <c r="AB2" s="13">
        <v>96.7</v>
      </c>
    </row>
    <row r="3" spans="1:28" x14ac:dyDescent="0.35">
      <c r="A3" t="s">
        <v>98</v>
      </c>
      <c r="B3">
        <v>42.9</v>
      </c>
      <c r="C3" s="9">
        <v>22692</v>
      </c>
      <c r="D3" s="10">
        <v>0.51500000000000001</v>
      </c>
      <c r="E3" s="9">
        <v>9333</v>
      </c>
      <c r="F3" s="11">
        <v>57020</v>
      </c>
      <c r="G3" s="9">
        <v>11089</v>
      </c>
      <c r="H3" s="10">
        <v>0.19500000000000001</v>
      </c>
      <c r="I3" s="10">
        <v>0.156</v>
      </c>
      <c r="J3">
        <v>40</v>
      </c>
      <c r="K3" s="10">
        <v>0.20499999999999999</v>
      </c>
      <c r="L3" s="10">
        <v>9.2999999999999999E-2</v>
      </c>
      <c r="M3" s="10">
        <v>0.20399999999999999</v>
      </c>
      <c r="N3" s="10">
        <v>0.80100000000000005</v>
      </c>
      <c r="O3" s="10">
        <v>0.158</v>
      </c>
      <c r="P3" s="10">
        <v>0.67800000000000005</v>
      </c>
      <c r="Q3" s="10">
        <v>0.20499999999999999</v>
      </c>
      <c r="R3" s="10">
        <v>0.224</v>
      </c>
      <c r="S3" s="10">
        <v>4.2999999999999997E-2</v>
      </c>
      <c r="T3" s="10">
        <v>0.13200000000000001</v>
      </c>
      <c r="U3" s="10">
        <v>0.13</v>
      </c>
      <c r="V3" s="10">
        <v>7.2999999999999995E-2</v>
      </c>
      <c r="W3" s="10">
        <v>9.4E-2</v>
      </c>
      <c r="X3" s="10">
        <v>5.8999999999999997E-2</v>
      </c>
      <c r="Y3" s="10">
        <v>6.5000000000000002E-2</v>
      </c>
      <c r="Z3" s="10">
        <v>6.0000000000000001E-3</v>
      </c>
      <c r="AB3" s="14">
        <v>92.1</v>
      </c>
    </row>
    <row r="4" spans="1:28" x14ac:dyDescent="0.35">
      <c r="A4" t="s">
        <v>96</v>
      </c>
      <c r="B4">
        <v>49.9</v>
      </c>
      <c r="C4" s="9">
        <v>24725</v>
      </c>
      <c r="D4" s="10">
        <v>0.56799999999999995</v>
      </c>
      <c r="E4" s="9">
        <v>9787</v>
      </c>
      <c r="F4" s="11">
        <v>52954</v>
      </c>
      <c r="G4" s="9">
        <v>11384</v>
      </c>
      <c r="H4" s="10">
        <v>0.222</v>
      </c>
      <c r="I4" s="10">
        <v>0.14099999999999999</v>
      </c>
      <c r="J4">
        <v>36.700000000000003</v>
      </c>
      <c r="K4" s="10">
        <v>0.16300000000000001</v>
      </c>
      <c r="L4" s="10">
        <v>7.1999999999999995E-2</v>
      </c>
      <c r="M4" s="10">
        <v>0.16700000000000001</v>
      </c>
      <c r="N4" s="10">
        <v>0.79500000000000004</v>
      </c>
      <c r="O4" s="10">
        <v>0.14000000000000001</v>
      </c>
      <c r="P4" s="10">
        <v>0.56399999999999995</v>
      </c>
      <c r="Q4" s="10">
        <v>0.219</v>
      </c>
      <c r="R4" s="10">
        <v>0.251</v>
      </c>
      <c r="S4" s="10">
        <v>3.7999999999999999E-2</v>
      </c>
      <c r="T4" s="10">
        <v>0.14599999999999999</v>
      </c>
      <c r="U4" s="10">
        <v>0.127</v>
      </c>
      <c r="V4" s="10">
        <v>6.9000000000000006E-2</v>
      </c>
      <c r="W4" s="10">
        <v>0.13900000000000001</v>
      </c>
      <c r="X4" s="10">
        <v>7.0999999999999994E-2</v>
      </c>
      <c r="Y4" s="10">
        <v>6.8000000000000005E-2</v>
      </c>
      <c r="Z4" s="10">
        <v>1.2999999999999999E-2</v>
      </c>
      <c r="AB4" s="14">
        <v>92.7</v>
      </c>
    </row>
    <row r="5" spans="1:28" x14ac:dyDescent="0.35">
      <c r="A5" t="s">
        <v>94</v>
      </c>
      <c r="B5">
        <v>81.400000000000006</v>
      </c>
      <c r="C5" s="9">
        <v>90381</v>
      </c>
      <c r="D5" s="10">
        <v>0.46899999999999997</v>
      </c>
      <c r="E5" s="9">
        <v>33438</v>
      </c>
      <c r="F5" s="11">
        <v>55506</v>
      </c>
      <c r="G5" s="9">
        <v>39738</v>
      </c>
      <c r="H5" s="10">
        <v>0.2</v>
      </c>
      <c r="I5" s="10">
        <v>0.111</v>
      </c>
      <c r="J5">
        <v>34.200000000000003</v>
      </c>
      <c r="K5" s="10">
        <v>0.123</v>
      </c>
      <c r="L5" s="10">
        <v>0.17100000000000001</v>
      </c>
      <c r="M5" s="10">
        <v>0.19800000000000001</v>
      </c>
      <c r="N5" s="10">
        <v>0.73499999999999999</v>
      </c>
      <c r="O5" s="10">
        <v>0.159</v>
      </c>
      <c r="P5" s="10">
        <v>0.47899999999999998</v>
      </c>
      <c r="Q5" s="10">
        <v>0.253</v>
      </c>
      <c r="R5" s="10">
        <v>0.23100000000000001</v>
      </c>
      <c r="S5" s="10">
        <v>0.11</v>
      </c>
      <c r="T5" s="10">
        <v>0.13700000000000001</v>
      </c>
      <c r="U5" s="10">
        <v>0.13400000000000001</v>
      </c>
      <c r="V5" s="10">
        <v>9.6000000000000002E-2</v>
      </c>
      <c r="W5" s="10">
        <v>8.6999999999999994E-2</v>
      </c>
      <c r="X5" s="10">
        <v>8.3000000000000004E-2</v>
      </c>
      <c r="Y5" s="10">
        <v>6.0999999999999999E-2</v>
      </c>
      <c r="Z5" s="10">
        <v>0.01</v>
      </c>
      <c r="AB5" s="14">
        <v>84.7</v>
      </c>
    </row>
    <row r="6" spans="1:28" x14ac:dyDescent="0.35">
      <c r="A6" t="s">
        <v>119</v>
      </c>
      <c r="B6">
        <v>72</v>
      </c>
      <c r="C6" s="9">
        <v>102316</v>
      </c>
      <c r="D6" s="10">
        <v>0.54100000000000004</v>
      </c>
      <c r="E6" s="9">
        <v>38289</v>
      </c>
      <c r="F6" s="11">
        <v>63835</v>
      </c>
      <c r="G6" s="9">
        <v>43762</v>
      </c>
      <c r="H6" s="10">
        <v>0.26900000000000002</v>
      </c>
      <c r="I6" s="10">
        <v>0.16600000000000001</v>
      </c>
      <c r="J6">
        <v>35.299999999999997</v>
      </c>
      <c r="K6" s="10">
        <v>0.16</v>
      </c>
      <c r="L6" s="10">
        <v>8.5000000000000006E-2</v>
      </c>
      <c r="M6" s="10">
        <v>0.13900000000000001</v>
      </c>
      <c r="N6" s="10">
        <v>0.60699999999999998</v>
      </c>
      <c r="O6" s="10">
        <v>0.125</v>
      </c>
      <c r="P6" s="10">
        <v>0.56499999999999995</v>
      </c>
      <c r="Q6" s="10">
        <v>0.16300000000000001</v>
      </c>
      <c r="R6" s="10">
        <v>0.21099999999999999</v>
      </c>
      <c r="S6" s="10">
        <v>6.3E-2</v>
      </c>
      <c r="T6" s="10">
        <v>0.17599999999999999</v>
      </c>
      <c r="U6" s="10">
        <v>0.13200000000000001</v>
      </c>
      <c r="V6" s="10">
        <v>9.1999999999999998E-2</v>
      </c>
      <c r="W6" s="10">
        <v>7.2999999999999995E-2</v>
      </c>
      <c r="X6" s="10">
        <v>0.111</v>
      </c>
      <c r="Y6" s="10">
        <v>5.5E-2</v>
      </c>
      <c r="Z6" s="10">
        <v>4.0000000000000001E-3</v>
      </c>
      <c r="AB6" s="14">
        <v>81.5</v>
      </c>
    </row>
    <row r="7" spans="1:28" x14ac:dyDescent="0.35">
      <c r="A7" t="s">
        <v>149</v>
      </c>
      <c r="B7">
        <v>19.7</v>
      </c>
      <c r="C7" s="9">
        <v>16481</v>
      </c>
      <c r="D7" s="10">
        <v>0.60199999999999998</v>
      </c>
      <c r="E7" s="9">
        <v>6688</v>
      </c>
      <c r="F7" s="11">
        <v>51792</v>
      </c>
      <c r="G7" s="9">
        <v>8043</v>
      </c>
      <c r="H7" s="10">
        <v>0.30299999999999999</v>
      </c>
      <c r="I7" s="10">
        <v>0.19900000000000001</v>
      </c>
      <c r="J7">
        <v>32.700000000000003</v>
      </c>
      <c r="K7" s="10">
        <v>0.14399999999999999</v>
      </c>
      <c r="L7" s="10">
        <v>6.8000000000000005E-2</v>
      </c>
      <c r="M7" s="10">
        <v>0.161</v>
      </c>
      <c r="N7" s="10">
        <v>0.64200000000000002</v>
      </c>
      <c r="O7" s="10">
        <v>0.16900000000000001</v>
      </c>
      <c r="P7" s="10">
        <v>0.45</v>
      </c>
      <c r="Q7" s="10">
        <v>0.14899999999999999</v>
      </c>
      <c r="R7" s="10">
        <v>0.251</v>
      </c>
      <c r="S7" s="10">
        <v>9.2999999999999999E-2</v>
      </c>
      <c r="T7" s="10">
        <v>0.16600000000000001</v>
      </c>
      <c r="U7" s="10">
        <v>0.11700000000000001</v>
      </c>
      <c r="V7" s="10">
        <v>0.115</v>
      </c>
      <c r="W7" s="10">
        <v>7.4999999999999997E-2</v>
      </c>
      <c r="X7" s="10">
        <v>5.1999999999999998E-2</v>
      </c>
      <c r="Y7" s="10">
        <v>6.0999999999999999E-2</v>
      </c>
      <c r="Z7" s="10">
        <v>1.4E-2</v>
      </c>
      <c r="AB7" s="14">
        <v>93.2</v>
      </c>
    </row>
    <row r="8" spans="1:28" x14ac:dyDescent="0.35">
      <c r="A8" t="s">
        <v>150</v>
      </c>
      <c r="B8">
        <v>22</v>
      </c>
      <c r="C8" s="9">
        <v>16051</v>
      </c>
      <c r="D8" s="10">
        <v>0.55300000000000005</v>
      </c>
      <c r="E8" s="9">
        <v>6391</v>
      </c>
      <c r="F8" s="11">
        <v>55039</v>
      </c>
      <c r="G8" s="9">
        <v>7735</v>
      </c>
      <c r="H8" s="10">
        <v>0.20300000000000001</v>
      </c>
      <c r="I8" s="10">
        <v>0.15</v>
      </c>
      <c r="J8">
        <v>36.9</v>
      </c>
      <c r="K8" s="10">
        <v>0.16200000000000001</v>
      </c>
      <c r="L8" s="10">
        <v>6.5000000000000002E-2</v>
      </c>
      <c r="M8" s="10">
        <v>0.189</v>
      </c>
      <c r="N8" s="10">
        <v>0.71899999999999997</v>
      </c>
      <c r="O8" s="10">
        <v>0.17399999999999999</v>
      </c>
      <c r="P8" s="10">
        <v>0.52400000000000002</v>
      </c>
      <c r="Q8" s="10">
        <v>0.19700000000000001</v>
      </c>
      <c r="R8" s="10">
        <v>0.21299999999999999</v>
      </c>
      <c r="S8" s="10">
        <v>4.7E-2</v>
      </c>
      <c r="T8" s="10">
        <v>0.14599999999999999</v>
      </c>
      <c r="U8" s="10">
        <v>0.129</v>
      </c>
      <c r="V8" s="10">
        <v>8.5000000000000006E-2</v>
      </c>
      <c r="W8" s="10">
        <v>0.115</v>
      </c>
      <c r="X8" s="10">
        <v>8.5000000000000006E-2</v>
      </c>
      <c r="Y8" s="10">
        <v>5.0999999999999997E-2</v>
      </c>
      <c r="Z8" s="10">
        <v>8.9999999999999993E-3</v>
      </c>
      <c r="AB8" s="14">
        <v>92.4</v>
      </c>
    </row>
    <row r="9" spans="1:28" x14ac:dyDescent="0.35">
      <c r="A9" t="s">
        <v>97</v>
      </c>
      <c r="B9">
        <v>606.4</v>
      </c>
      <c r="C9" s="9">
        <v>681054</v>
      </c>
      <c r="D9" s="10">
        <v>0.64</v>
      </c>
      <c r="E9" s="9">
        <v>290311</v>
      </c>
      <c r="F9" s="11">
        <v>70040</v>
      </c>
      <c r="G9" s="9">
        <v>314255</v>
      </c>
      <c r="H9" s="10">
        <v>0.36799999999999999</v>
      </c>
      <c r="I9" s="10">
        <v>0.124</v>
      </c>
      <c r="J9">
        <v>35.200000000000003</v>
      </c>
      <c r="K9" s="10">
        <v>0.14000000000000001</v>
      </c>
      <c r="L9" s="10">
        <v>6.8000000000000005E-2</v>
      </c>
      <c r="M9" s="10">
        <v>0.153</v>
      </c>
      <c r="N9" s="10">
        <v>0.69899999999999995</v>
      </c>
      <c r="O9" s="10">
        <v>7.5999999999999998E-2</v>
      </c>
      <c r="P9" s="10">
        <v>0.56999999999999995</v>
      </c>
      <c r="Q9" s="10">
        <v>0.152</v>
      </c>
      <c r="R9" s="10">
        <v>0.245</v>
      </c>
      <c r="S9" s="10">
        <v>7.5999999999999998E-2</v>
      </c>
      <c r="T9" s="10">
        <v>0.13600000000000001</v>
      </c>
      <c r="U9" s="10">
        <v>0.11700000000000001</v>
      </c>
      <c r="V9" s="10">
        <v>8.7999999999999995E-2</v>
      </c>
      <c r="W9" s="10">
        <v>7.1999999999999995E-2</v>
      </c>
      <c r="X9" s="10">
        <v>7.1999999999999995E-2</v>
      </c>
      <c r="Y9" s="10">
        <v>7.4999999999999997E-2</v>
      </c>
      <c r="Z9" s="10">
        <v>6.0000000000000001E-3</v>
      </c>
      <c r="AB9" s="14">
        <v>84.1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5BABB-D616-415C-B0C9-B35BEC35681C}">
  <dimension ref="A1:AJ9"/>
  <sheetViews>
    <sheetView workbookViewId="0">
      <selection activeCell="G13" sqref="G13"/>
    </sheetView>
  </sheetViews>
  <sheetFormatPr defaultRowHeight="14.5" x14ac:dyDescent="0.35"/>
  <cols>
    <col min="1" max="1" width="11.6328125" bestFit="1" customWidth="1"/>
    <col min="2" max="2" width="8.7265625" style="15"/>
    <col min="3" max="3" width="19" style="15" bestFit="1" customWidth="1"/>
    <col min="4" max="4" width="20.26953125" style="15" bestFit="1" customWidth="1"/>
    <col min="5" max="5" width="16.6328125" style="15" bestFit="1" customWidth="1"/>
    <col min="6" max="8" width="11.6328125" customWidth="1"/>
    <col min="9" max="9" width="15.26953125" bestFit="1" customWidth="1"/>
    <col min="10" max="10" width="9.453125" bestFit="1" customWidth="1"/>
    <col min="11" max="11" width="12.7265625" style="10" bestFit="1" customWidth="1"/>
    <col min="12" max="12" width="10.36328125" bestFit="1" customWidth="1"/>
    <col min="13" max="13" width="25" style="11" bestFit="1" customWidth="1"/>
    <col min="14" max="14" width="12" bestFit="1" customWidth="1"/>
    <col min="15" max="15" width="17.1796875" style="10" bestFit="1" customWidth="1"/>
    <col min="16" max="16" width="20.26953125" style="10" bestFit="1" customWidth="1"/>
    <col min="17" max="17" width="10.08984375" bestFit="1" customWidth="1"/>
    <col min="18" max="18" width="13" style="10" bestFit="1" customWidth="1"/>
    <col min="19" max="19" width="10" style="10" bestFit="1" customWidth="1"/>
    <col min="20" max="20" width="15.81640625" style="11" bestFit="1" customWidth="1"/>
    <col min="21" max="21" width="8.7265625" style="10"/>
    <col min="22" max="22" width="15.1796875" style="10" bestFit="1" customWidth="1"/>
    <col min="23" max="23" width="24" style="10" bestFit="1" customWidth="1"/>
    <col min="24" max="24" width="16.6328125" style="10" bestFit="1" customWidth="1"/>
    <col min="25" max="25" width="19" style="10" bestFit="1" customWidth="1"/>
    <col min="26" max="26" width="10" style="10" bestFit="1" customWidth="1"/>
    <col min="27" max="27" width="21.08984375" style="10" bestFit="1" customWidth="1"/>
    <col min="28" max="28" width="20.08984375" style="10" bestFit="1" customWidth="1"/>
    <col min="29" max="29" width="15.6328125" style="10" bestFit="1" customWidth="1"/>
    <col min="30" max="30" width="19.1796875" style="10" bestFit="1" customWidth="1"/>
    <col min="31" max="31" width="22.81640625" style="10" bestFit="1" customWidth="1"/>
    <col min="32" max="32" width="19.7265625" style="10" bestFit="1" customWidth="1"/>
    <col min="33" max="33" width="21.7265625" style="10" bestFit="1" customWidth="1"/>
    <col min="34" max="34" width="19.90625" style="10" bestFit="1" customWidth="1"/>
    <col min="36" max="36" width="8.7265625" style="14"/>
  </cols>
  <sheetData>
    <row r="1" spans="1:36" x14ac:dyDescent="0.35">
      <c r="A1" t="s">
        <v>142</v>
      </c>
      <c r="B1" s="15" t="s">
        <v>159</v>
      </c>
      <c r="C1" s="15" t="s">
        <v>163</v>
      </c>
      <c r="D1" s="15" t="s">
        <v>155</v>
      </c>
      <c r="E1" s="15" t="s">
        <v>162</v>
      </c>
      <c r="G1" s="15" t="s">
        <v>182</v>
      </c>
      <c r="H1" s="15"/>
      <c r="I1" t="s">
        <v>151</v>
      </c>
      <c r="J1" t="s">
        <v>143</v>
      </c>
      <c r="K1" s="10" t="s">
        <v>152</v>
      </c>
      <c r="L1" t="s">
        <v>145</v>
      </c>
      <c r="M1" s="11" t="s">
        <v>153</v>
      </c>
      <c r="N1" t="s">
        <v>146</v>
      </c>
      <c r="O1" s="10" t="s">
        <v>154</v>
      </c>
      <c r="P1" s="10" t="s">
        <v>155</v>
      </c>
      <c r="Q1" t="s">
        <v>147</v>
      </c>
      <c r="R1" s="10" t="s">
        <v>156</v>
      </c>
      <c r="S1" s="10" t="s">
        <v>157</v>
      </c>
      <c r="T1" s="11" t="s">
        <v>158</v>
      </c>
      <c r="U1" s="10" t="s">
        <v>159</v>
      </c>
      <c r="V1" s="10" t="s">
        <v>160</v>
      </c>
      <c r="W1" s="10" t="s">
        <v>161</v>
      </c>
      <c r="X1" s="10" t="s">
        <v>162</v>
      </c>
      <c r="Y1" s="10" t="s">
        <v>163</v>
      </c>
      <c r="Z1" s="10" t="s">
        <v>164</v>
      </c>
      <c r="AA1" s="10" t="s">
        <v>165</v>
      </c>
      <c r="AB1" s="10" t="s">
        <v>166</v>
      </c>
      <c r="AC1" s="10" t="s">
        <v>168</v>
      </c>
      <c r="AD1" s="10" t="s">
        <v>167</v>
      </c>
      <c r="AE1" s="10" t="s">
        <v>169</v>
      </c>
      <c r="AF1" s="10" t="s">
        <v>170</v>
      </c>
      <c r="AG1" s="10" t="s">
        <v>171</v>
      </c>
      <c r="AH1" s="10" t="s">
        <v>172</v>
      </c>
      <c r="AJ1" s="13" t="s">
        <v>173</v>
      </c>
    </row>
    <row r="2" spans="1:36" x14ac:dyDescent="0.35">
      <c r="A2" t="s">
        <v>99</v>
      </c>
      <c r="B2" s="15">
        <v>17</v>
      </c>
      <c r="C2" s="15">
        <v>16</v>
      </c>
      <c r="D2" s="15">
        <v>15</v>
      </c>
      <c r="E2" s="15">
        <v>56</v>
      </c>
      <c r="G2" s="18">
        <f t="shared" ref="G2:G9" si="0">ROUND(( (100-B2)*0.4 + (100-C2)*0.3 + (100-D2)*0.2 + E2*0.1 ),0)</f>
        <v>81</v>
      </c>
      <c r="H2" s="18"/>
      <c r="I2">
        <v>18.399999999999999</v>
      </c>
      <c r="J2" s="9">
        <v>18729</v>
      </c>
      <c r="K2" s="10">
        <v>0.54600000000000004</v>
      </c>
      <c r="L2" s="9">
        <v>7371</v>
      </c>
      <c r="M2" s="11">
        <v>55550</v>
      </c>
      <c r="N2" s="9">
        <v>9021</v>
      </c>
      <c r="O2" s="10">
        <v>0.23499999999999999</v>
      </c>
      <c r="P2" s="10">
        <v>0.154</v>
      </c>
      <c r="Q2">
        <v>33.5</v>
      </c>
      <c r="R2" s="10">
        <v>0.16900000000000001</v>
      </c>
      <c r="S2" s="10">
        <v>0.13300000000000001</v>
      </c>
      <c r="T2" s="11">
        <v>55550</v>
      </c>
      <c r="U2" s="10">
        <v>0.17299999999999999</v>
      </c>
      <c r="V2" s="10">
        <v>0.71599999999999997</v>
      </c>
      <c r="W2" s="10">
        <v>0.182</v>
      </c>
      <c r="X2" s="10">
        <v>0.55900000000000005</v>
      </c>
      <c r="Y2" s="10">
        <v>0.155</v>
      </c>
      <c r="Z2" s="10">
        <v>0.253</v>
      </c>
      <c r="AA2" s="10">
        <v>0.14499999999999999</v>
      </c>
      <c r="AB2" s="10">
        <v>0.13600000000000001</v>
      </c>
      <c r="AC2" s="10">
        <v>0.13100000000000001</v>
      </c>
      <c r="AD2" s="10">
        <v>0.10199999999999999</v>
      </c>
      <c r="AE2" s="10">
        <v>8.5000000000000006E-2</v>
      </c>
      <c r="AF2" s="10">
        <v>7.1999999999999995E-2</v>
      </c>
      <c r="AG2" s="10">
        <v>7.0000000000000007E-2</v>
      </c>
      <c r="AH2" s="10">
        <v>3.9E-2</v>
      </c>
      <c r="AJ2" s="13">
        <v>96.7</v>
      </c>
    </row>
    <row r="3" spans="1:36" x14ac:dyDescent="0.35">
      <c r="A3" t="s">
        <v>98</v>
      </c>
      <c r="B3" s="15">
        <v>20</v>
      </c>
      <c r="C3" s="15">
        <v>21</v>
      </c>
      <c r="D3" s="15">
        <v>16</v>
      </c>
      <c r="E3" s="15">
        <v>68</v>
      </c>
      <c r="G3" s="18">
        <f t="shared" si="0"/>
        <v>79</v>
      </c>
      <c r="H3" s="18"/>
      <c r="I3">
        <v>42.9</v>
      </c>
      <c r="J3" s="9">
        <v>22692</v>
      </c>
      <c r="K3" s="10">
        <v>0.51500000000000001</v>
      </c>
      <c r="L3" s="9">
        <v>9333</v>
      </c>
      <c r="M3" s="11">
        <v>57020</v>
      </c>
      <c r="N3" s="9">
        <v>11089</v>
      </c>
      <c r="O3" s="10">
        <v>0.19500000000000001</v>
      </c>
      <c r="P3" s="10">
        <v>0.156</v>
      </c>
      <c r="Q3">
        <v>40</v>
      </c>
      <c r="R3" s="10">
        <v>0.20499999999999999</v>
      </c>
      <c r="S3" s="10">
        <v>9.2999999999999999E-2</v>
      </c>
      <c r="T3" s="11">
        <v>57020</v>
      </c>
      <c r="U3" s="10">
        <v>0.20399999999999999</v>
      </c>
      <c r="V3" s="10">
        <v>0.80100000000000005</v>
      </c>
      <c r="W3" s="10">
        <v>0.158</v>
      </c>
      <c r="X3" s="10">
        <v>0.67800000000000005</v>
      </c>
      <c r="Y3" s="10">
        <v>0.20499999999999999</v>
      </c>
      <c r="Z3" s="10">
        <v>0.224</v>
      </c>
      <c r="AA3" s="10">
        <v>4.2999999999999997E-2</v>
      </c>
      <c r="AB3" s="10">
        <v>0.13200000000000001</v>
      </c>
      <c r="AC3" s="10">
        <v>0.13</v>
      </c>
      <c r="AD3" s="10">
        <v>7.2999999999999995E-2</v>
      </c>
      <c r="AE3" s="10">
        <v>9.4E-2</v>
      </c>
      <c r="AF3" s="10">
        <v>5.8999999999999997E-2</v>
      </c>
      <c r="AG3" s="10">
        <v>6.5000000000000002E-2</v>
      </c>
      <c r="AH3" s="10">
        <v>6.0000000000000001E-3</v>
      </c>
      <c r="AJ3" s="14">
        <v>92.1</v>
      </c>
    </row>
    <row r="4" spans="1:36" x14ac:dyDescent="0.35">
      <c r="A4" t="s">
        <v>96</v>
      </c>
      <c r="B4" s="15">
        <v>17</v>
      </c>
      <c r="C4" s="15">
        <v>22</v>
      </c>
      <c r="D4" s="15">
        <v>14</v>
      </c>
      <c r="E4" s="15">
        <v>56</v>
      </c>
      <c r="G4" s="18">
        <f t="shared" si="0"/>
        <v>79</v>
      </c>
      <c r="H4" s="18"/>
      <c r="I4">
        <v>49.9</v>
      </c>
      <c r="J4" s="9">
        <v>24725</v>
      </c>
      <c r="K4" s="10">
        <v>0.56799999999999995</v>
      </c>
      <c r="L4" s="9">
        <v>9787</v>
      </c>
      <c r="M4" s="11">
        <v>52954</v>
      </c>
      <c r="N4" s="9">
        <v>11384</v>
      </c>
      <c r="O4" s="10">
        <v>0.222</v>
      </c>
      <c r="P4" s="10">
        <v>0.14099999999999999</v>
      </c>
      <c r="Q4">
        <v>36.700000000000003</v>
      </c>
      <c r="R4" s="10">
        <v>0.16300000000000001</v>
      </c>
      <c r="S4" s="10">
        <v>7.1999999999999995E-2</v>
      </c>
      <c r="T4" s="11">
        <v>52954</v>
      </c>
      <c r="U4" s="10">
        <v>0.16700000000000001</v>
      </c>
      <c r="V4" s="10">
        <v>0.79500000000000004</v>
      </c>
      <c r="W4" s="10">
        <v>0.14000000000000001</v>
      </c>
      <c r="X4" s="10">
        <v>0.56399999999999995</v>
      </c>
      <c r="Y4" s="10">
        <v>0.219</v>
      </c>
      <c r="Z4" s="10">
        <v>0.251</v>
      </c>
      <c r="AA4" s="10">
        <v>3.7999999999999999E-2</v>
      </c>
      <c r="AB4" s="10">
        <v>0.14599999999999999</v>
      </c>
      <c r="AC4" s="10">
        <v>0.127</v>
      </c>
      <c r="AD4" s="10">
        <v>6.9000000000000006E-2</v>
      </c>
      <c r="AE4" s="10">
        <v>0.13900000000000001</v>
      </c>
      <c r="AF4" s="10">
        <v>7.0999999999999994E-2</v>
      </c>
      <c r="AG4" s="10">
        <v>6.8000000000000005E-2</v>
      </c>
      <c r="AH4" s="10">
        <v>1.2999999999999999E-2</v>
      </c>
      <c r="AJ4" s="14">
        <v>92.7</v>
      </c>
    </row>
    <row r="5" spans="1:36" x14ac:dyDescent="0.35">
      <c r="A5" t="s">
        <v>94</v>
      </c>
      <c r="B5" s="15">
        <v>20</v>
      </c>
      <c r="C5" s="15">
        <v>25</v>
      </c>
      <c r="D5" s="15">
        <v>11</v>
      </c>
      <c r="E5" s="15">
        <v>48</v>
      </c>
      <c r="G5" s="18">
        <f t="shared" si="0"/>
        <v>77</v>
      </c>
      <c r="H5" s="18"/>
      <c r="I5">
        <v>81.400000000000006</v>
      </c>
      <c r="J5" s="9">
        <v>90381</v>
      </c>
      <c r="K5" s="10">
        <v>0.46899999999999997</v>
      </c>
      <c r="L5" s="9">
        <v>33438</v>
      </c>
      <c r="M5" s="11">
        <v>55506</v>
      </c>
      <c r="N5" s="9">
        <v>39738</v>
      </c>
      <c r="O5" s="10">
        <v>0.2</v>
      </c>
      <c r="P5" s="10">
        <v>0.111</v>
      </c>
      <c r="Q5">
        <v>34.200000000000003</v>
      </c>
      <c r="R5" s="10">
        <v>0.123</v>
      </c>
      <c r="S5" s="10">
        <v>0.17100000000000001</v>
      </c>
      <c r="T5" s="11">
        <v>55506</v>
      </c>
      <c r="U5" s="10">
        <v>0.19800000000000001</v>
      </c>
      <c r="V5" s="10">
        <v>0.73499999999999999</v>
      </c>
      <c r="W5" s="10">
        <v>0.159</v>
      </c>
      <c r="X5" s="10">
        <v>0.47899999999999998</v>
      </c>
      <c r="Y5" s="10">
        <v>0.253</v>
      </c>
      <c r="Z5" s="10">
        <v>0.23100000000000001</v>
      </c>
      <c r="AA5" s="10">
        <v>0.11</v>
      </c>
      <c r="AB5" s="10">
        <v>0.13700000000000001</v>
      </c>
      <c r="AC5" s="10">
        <v>0.13400000000000001</v>
      </c>
      <c r="AD5" s="10">
        <v>9.6000000000000002E-2</v>
      </c>
      <c r="AE5" s="10">
        <v>8.6999999999999994E-2</v>
      </c>
      <c r="AF5" s="10">
        <v>8.3000000000000004E-2</v>
      </c>
      <c r="AG5" s="10">
        <v>6.0999999999999999E-2</v>
      </c>
      <c r="AH5" s="10">
        <v>0.01</v>
      </c>
      <c r="AJ5" s="14">
        <v>84.7</v>
      </c>
    </row>
    <row r="6" spans="1:36" x14ac:dyDescent="0.35">
      <c r="A6" t="s">
        <v>119</v>
      </c>
      <c r="B6" s="15">
        <v>14</v>
      </c>
      <c r="C6" s="15">
        <v>16</v>
      </c>
      <c r="D6" s="15">
        <v>17</v>
      </c>
      <c r="E6" s="15">
        <v>57</v>
      </c>
      <c r="G6" s="18">
        <f t="shared" si="0"/>
        <v>82</v>
      </c>
      <c r="H6" s="18"/>
      <c r="I6">
        <v>72</v>
      </c>
      <c r="J6" s="9">
        <v>102316</v>
      </c>
      <c r="K6" s="10">
        <v>0.54100000000000004</v>
      </c>
      <c r="L6" s="9">
        <v>38289</v>
      </c>
      <c r="M6" s="11">
        <v>63835</v>
      </c>
      <c r="N6" s="9">
        <v>43762</v>
      </c>
      <c r="O6" s="10">
        <v>0.26900000000000002</v>
      </c>
      <c r="P6" s="10">
        <v>0.16600000000000001</v>
      </c>
      <c r="Q6">
        <v>35.299999999999997</v>
      </c>
      <c r="R6" s="10">
        <v>0.16</v>
      </c>
      <c r="S6" s="10">
        <v>8.5000000000000006E-2</v>
      </c>
      <c r="T6" s="11">
        <v>63835</v>
      </c>
      <c r="U6" s="10">
        <v>0.13900000000000001</v>
      </c>
      <c r="V6" s="10">
        <v>0.60699999999999998</v>
      </c>
      <c r="W6" s="10">
        <v>0.125</v>
      </c>
      <c r="X6" s="10">
        <v>0.56499999999999995</v>
      </c>
      <c r="Y6" s="10">
        <v>0.16300000000000001</v>
      </c>
      <c r="Z6" s="10">
        <v>0.21099999999999999</v>
      </c>
      <c r="AA6" s="10">
        <v>6.3E-2</v>
      </c>
      <c r="AB6" s="10">
        <v>0.17599999999999999</v>
      </c>
      <c r="AC6" s="10">
        <v>0.13200000000000001</v>
      </c>
      <c r="AD6" s="10">
        <v>9.1999999999999998E-2</v>
      </c>
      <c r="AE6" s="10">
        <v>7.2999999999999995E-2</v>
      </c>
      <c r="AF6" s="10">
        <v>0.111</v>
      </c>
      <c r="AG6" s="10">
        <v>5.5E-2</v>
      </c>
      <c r="AH6" s="10">
        <v>4.0000000000000001E-3</v>
      </c>
      <c r="AJ6" s="14">
        <v>81.5</v>
      </c>
    </row>
    <row r="7" spans="1:36" x14ac:dyDescent="0.35">
      <c r="A7" t="s">
        <v>149</v>
      </c>
      <c r="B7" s="15">
        <v>16</v>
      </c>
      <c r="C7" s="15">
        <v>15</v>
      </c>
      <c r="D7" s="15">
        <v>20</v>
      </c>
      <c r="E7" s="15">
        <v>45</v>
      </c>
      <c r="G7" s="18">
        <f t="shared" si="0"/>
        <v>80</v>
      </c>
      <c r="H7" s="18"/>
      <c r="I7">
        <v>19.7</v>
      </c>
      <c r="J7" s="9">
        <v>16481</v>
      </c>
      <c r="K7" s="10">
        <v>0.60199999999999998</v>
      </c>
      <c r="L7" s="9">
        <v>6688</v>
      </c>
      <c r="M7" s="11">
        <v>51792</v>
      </c>
      <c r="N7" s="9">
        <v>8043</v>
      </c>
      <c r="O7" s="10">
        <v>0.30299999999999999</v>
      </c>
      <c r="P7" s="10">
        <v>0.19900000000000001</v>
      </c>
      <c r="Q7">
        <v>32.700000000000003</v>
      </c>
      <c r="R7" s="10">
        <v>0.14399999999999999</v>
      </c>
      <c r="S7" s="10">
        <v>6.8000000000000005E-2</v>
      </c>
      <c r="T7" s="11">
        <v>51792</v>
      </c>
      <c r="U7" s="10">
        <v>0.161</v>
      </c>
      <c r="V7" s="10">
        <v>0.64200000000000002</v>
      </c>
      <c r="W7" s="10">
        <v>0.16900000000000001</v>
      </c>
      <c r="X7" s="10">
        <v>0.45</v>
      </c>
      <c r="Y7" s="10">
        <v>0.14899999999999999</v>
      </c>
      <c r="Z7" s="10">
        <v>0.251</v>
      </c>
      <c r="AA7" s="10">
        <v>9.2999999999999999E-2</v>
      </c>
      <c r="AB7" s="10">
        <v>0.16600000000000001</v>
      </c>
      <c r="AC7" s="10">
        <v>0.11700000000000001</v>
      </c>
      <c r="AD7" s="10">
        <v>0.115</v>
      </c>
      <c r="AE7" s="10">
        <v>7.4999999999999997E-2</v>
      </c>
      <c r="AF7" s="10">
        <v>5.1999999999999998E-2</v>
      </c>
      <c r="AG7" s="10">
        <v>6.0999999999999999E-2</v>
      </c>
      <c r="AH7" s="10">
        <v>1.4E-2</v>
      </c>
      <c r="AJ7" s="14">
        <v>93.2</v>
      </c>
    </row>
    <row r="8" spans="1:36" x14ac:dyDescent="0.35">
      <c r="A8" t="s">
        <v>150</v>
      </c>
      <c r="B8" s="15">
        <v>19</v>
      </c>
      <c r="C8" s="15">
        <v>20</v>
      </c>
      <c r="D8" s="15">
        <v>15</v>
      </c>
      <c r="E8" s="15">
        <v>52</v>
      </c>
      <c r="G8" s="18">
        <f t="shared" si="0"/>
        <v>79</v>
      </c>
      <c r="H8" s="18"/>
      <c r="I8">
        <v>22</v>
      </c>
      <c r="J8" s="9">
        <v>16051</v>
      </c>
      <c r="K8" s="10">
        <v>0.55300000000000005</v>
      </c>
      <c r="L8" s="9">
        <v>6391</v>
      </c>
      <c r="M8" s="11">
        <v>55039</v>
      </c>
      <c r="N8" s="9">
        <v>7735</v>
      </c>
      <c r="O8" s="10">
        <v>0.20300000000000001</v>
      </c>
      <c r="P8" s="10">
        <v>0.15</v>
      </c>
      <c r="Q8">
        <v>36.9</v>
      </c>
      <c r="R8" s="10">
        <v>0.16200000000000001</v>
      </c>
      <c r="S8" s="10">
        <v>6.5000000000000002E-2</v>
      </c>
      <c r="T8" s="11">
        <v>55039</v>
      </c>
      <c r="U8" s="10">
        <v>0.189</v>
      </c>
      <c r="V8" s="10">
        <v>0.71899999999999997</v>
      </c>
      <c r="W8" s="10">
        <v>0.17399999999999999</v>
      </c>
      <c r="X8" s="10">
        <v>0.52400000000000002</v>
      </c>
      <c r="Y8" s="10">
        <v>0.19700000000000001</v>
      </c>
      <c r="Z8" s="10">
        <v>0.21299999999999999</v>
      </c>
      <c r="AA8" s="10">
        <v>4.7E-2</v>
      </c>
      <c r="AB8" s="10">
        <v>0.14599999999999999</v>
      </c>
      <c r="AC8" s="10">
        <v>0.129</v>
      </c>
      <c r="AD8" s="10">
        <v>8.5000000000000006E-2</v>
      </c>
      <c r="AE8" s="10">
        <v>0.115</v>
      </c>
      <c r="AF8" s="10">
        <v>8.5000000000000006E-2</v>
      </c>
      <c r="AG8" s="10">
        <v>5.0999999999999997E-2</v>
      </c>
      <c r="AH8" s="10">
        <v>8.9999999999999993E-3</v>
      </c>
      <c r="AJ8" s="14">
        <v>92.4</v>
      </c>
    </row>
    <row r="9" spans="1:36" x14ac:dyDescent="0.35">
      <c r="A9" t="s">
        <v>97</v>
      </c>
      <c r="B9" s="15">
        <v>15</v>
      </c>
      <c r="C9" s="15">
        <v>15</v>
      </c>
      <c r="D9" s="15">
        <v>12</v>
      </c>
      <c r="E9" s="15">
        <v>57</v>
      </c>
      <c r="G9" s="18">
        <f t="shared" si="0"/>
        <v>83</v>
      </c>
      <c r="H9" s="18"/>
      <c r="I9">
        <v>606.4</v>
      </c>
      <c r="J9" s="9">
        <v>681054</v>
      </c>
      <c r="K9" s="10">
        <v>0.64</v>
      </c>
      <c r="L9" s="9">
        <v>290311</v>
      </c>
      <c r="M9" s="11">
        <v>70040</v>
      </c>
      <c r="N9" s="9">
        <v>314255</v>
      </c>
      <c r="O9" s="10">
        <v>0.36799999999999999</v>
      </c>
      <c r="P9" s="10">
        <v>0.124</v>
      </c>
      <c r="Q9">
        <v>35.200000000000003</v>
      </c>
      <c r="R9" s="10">
        <v>0.14000000000000001</v>
      </c>
      <c r="S9" s="10">
        <v>6.8000000000000005E-2</v>
      </c>
      <c r="T9" s="11">
        <v>70040</v>
      </c>
      <c r="U9" s="10">
        <v>0.153</v>
      </c>
      <c r="V9" s="10">
        <v>0.69899999999999995</v>
      </c>
      <c r="W9" s="10">
        <v>7.5999999999999998E-2</v>
      </c>
      <c r="X9" s="10">
        <v>0.56999999999999995</v>
      </c>
      <c r="Y9" s="10">
        <v>0.152</v>
      </c>
      <c r="Z9" s="10">
        <v>0.245</v>
      </c>
      <c r="AA9" s="10">
        <v>7.5999999999999998E-2</v>
      </c>
      <c r="AB9" s="10">
        <v>0.13600000000000001</v>
      </c>
      <c r="AC9" s="10">
        <v>0.11700000000000001</v>
      </c>
      <c r="AD9" s="10">
        <v>8.7999999999999995E-2</v>
      </c>
      <c r="AE9" s="10">
        <v>7.1999999999999995E-2</v>
      </c>
      <c r="AF9" s="10">
        <v>7.1999999999999995E-2</v>
      </c>
      <c r="AG9" s="10">
        <v>7.4999999999999997E-2</v>
      </c>
      <c r="AH9" s="10">
        <v>6.0000000000000001E-3</v>
      </c>
      <c r="AJ9" s="14">
        <v>84.1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9ABE2-CE11-42ED-B6D5-4D55600B125F}">
  <dimension ref="A1:AI9"/>
  <sheetViews>
    <sheetView workbookViewId="0">
      <selection activeCell="F3" sqref="F3"/>
    </sheetView>
  </sheetViews>
  <sheetFormatPr defaultRowHeight="14.5" x14ac:dyDescent="0.35"/>
  <cols>
    <col min="1" max="1" width="11.6328125" bestFit="1" customWidth="1"/>
    <col min="2" max="2" width="12" bestFit="1" customWidth="1"/>
    <col min="3" max="3" width="10.36328125" bestFit="1" customWidth="1"/>
    <col min="4" max="4" width="16.6328125" style="15" bestFit="1" customWidth="1"/>
    <col min="5" max="5" width="20.08984375" style="15" customWidth="1"/>
    <col min="6" max="6" width="17.26953125" style="15" customWidth="1"/>
    <col min="7" max="7" width="11.6328125" customWidth="1"/>
    <col min="8" max="8" width="15.26953125" bestFit="1" customWidth="1"/>
    <col min="9" max="9" width="9.453125" bestFit="1" customWidth="1"/>
    <col min="10" max="10" width="12.7265625" style="10" bestFit="1" customWidth="1"/>
    <col min="11" max="11" width="10.36328125" bestFit="1" customWidth="1"/>
    <col min="12" max="12" width="25" style="11" bestFit="1" customWidth="1"/>
    <col min="13" max="13" width="12" bestFit="1" customWidth="1"/>
    <col min="14" max="14" width="17.1796875" style="10" bestFit="1" customWidth="1"/>
    <col min="15" max="15" width="20.26953125" style="10" bestFit="1" customWidth="1"/>
    <col min="16" max="16" width="10.08984375" bestFit="1" customWidth="1"/>
    <col min="17" max="17" width="13" style="10" bestFit="1" customWidth="1"/>
    <col min="18" max="18" width="10" style="10" bestFit="1" customWidth="1"/>
    <col min="19" max="19" width="15.81640625" style="11" bestFit="1" customWidth="1"/>
    <col min="20" max="20" width="8.7265625" style="10"/>
    <col min="21" max="21" width="15.1796875" style="10" bestFit="1" customWidth="1"/>
    <col min="22" max="22" width="24" style="10" bestFit="1" customWidth="1"/>
    <col min="23" max="23" width="16.6328125" style="10" bestFit="1" customWidth="1"/>
    <col min="24" max="24" width="19" style="10" bestFit="1" customWidth="1"/>
    <col min="25" max="25" width="10" style="10" bestFit="1" customWidth="1"/>
    <col min="26" max="26" width="21.08984375" style="10" bestFit="1" customWidth="1"/>
    <col min="27" max="27" width="20.08984375" style="10" bestFit="1" customWidth="1"/>
    <col min="28" max="28" width="15.6328125" style="10" bestFit="1" customWidth="1"/>
    <col min="29" max="29" width="19.1796875" style="10" bestFit="1" customWidth="1"/>
    <col min="30" max="30" width="22.81640625" style="10" bestFit="1" customWidth="1"/>
    <col min="31" max="31" width="19.7265625" style="10" bestFit="1" customWidth="1"/>
    <col min="32" max="32" width="21.7265625" style="10" bestFit="1" customWidth="1"/>
    <col min="33" max="33" width="19.90625" style="10" bestFit="1" customWidth="1"/>
    <col min="35" max="35" width="8.7265625" style="14"/>
  </cols>
  <sheetData>
    <row r="1" spans="1:35" x14ac:dyDescent="0.35">
      <c r="A1" t="s">
        <v>142</v>
      </c>
      <c r="B1" t="s">
        <v>146</v>
      </c>
      <c r="C1" t="s">
        <v>145</v>
      </c>
      <c r="D1" s="15" t="s">
        <v>162</v>
      </c>
      <c r="E1" s="15" t="s">
        <v>161</v>
      </c>
      <c r="F1" s="15" t="s">
        <v>181</v>
      </c>
      <c r="H1" t="s">
        <v>151</v>
      </c>
      <c r="I1" t="s">
        <v>143</v>
      </c>
      <c r="J1" s="10" t="s">
        <v>152</v>
      </c>
      <c r="K1" t="s">
        <v>145</v>
      </c>
      <c r="L1" s="11" t="s">
        <v>153</v>
      </c>
      <c r="M1" t="s">
        <v>146</v>
      </c>
      <c r="N1" s="10" t="s">
        <v>154</v>
      </c>
      <c r="O1" s="10" t="s">
        <v>155</v>
      </c>
      <c r="P1" t="s">
        <v>147</v>
      </c>
      <c r="Q1" s="10" t="s">
        <v>156</v>
      </c>
      <c r="R1" s="10" t="s">
        <v>157</v>
      </c>
      <c r="S1" s="11" t="s">
        <v>158</v>
      </c>
      <c r="T1" s="10" t="s">
        <v>159</v>
      </c>
      <c r="U1" s="10" t="s">
        <v>160</v>
      </c>
      <c r="V1" s="10" t="s">
        <v>161</v>
      </c>
      <c r="W1" s="10" t="s">
        <v>162</v>
      </c>
      <c r="X1" s="10" t="s">
        <v>163</v>
      </c>
      <c r="Y1" s="10" t="s">
        <v>164</v>
      </c>
      <c r="Z1" s="10" t="s">
        <v>165</v>
      </c>
      <c r="AA1" s="10" t="s">
        <v>166</v>
      </c>
      <c r="AB1" s="10" t="s">
        <v>168</v>
      </c>
      <c r="AC1" s="10" t="s">
        <v>167</v>
      </c>
      <c r="AD1" s="10" t="s">
        <v>169</v>
      </c>
      <c r="AE1" s="10" t="s">
        <v>170</v>
      </c>
      <c r="AF1" s="10" t="s">
        <v>171</v>
      </c>
      <c r="AG1" s="10" t="s">
        <v>172</v>
      </c>
      <c r="AI1" s="13" t="s">
        <v>173</v>
      </c>
    </row>
    <row r="2" spans="1:35" x14ac:dyDescent="0.35">
      <c r="A2" t="s">
        <v>99</v>
      </c>
      <c r="B2" s="9">
        <v>9021</v>
      </c>
      <c r="C2" s="9">
        <v>7371</v>
      </c>
      <c r="D2" s="15">
        <v>56</v>
      </c>
      <c r="E2" s="15">
        <v>18</v>
      </c>
      <c r="F2" s="15">
        <f>( MIN(1,MAX(0,((B2/C2)-0.8)/(1.2-0.8)))*100*0.4 + D2*0.45 + E2*0.15)</f>
        <v>67.900000000000006</v>
      </c>
      <c r="H2">
        <v>18.399999999999999</v>
      </c>
      <c r="I2" s="9">
        <v>18729</v>
      </c>
      <c r="J2" s="10">
        <v>0.54600000000000004</v>
      </c>
      <c r="K2" s="9">
        <v>7371</v>
      </c>
      <c r="L2" s="11">
        <v>55550</v>
      </c>
      <c r="M2" s="9">
        <v>9021</v>
      </c>
      <c r="N2" s="10">
        <v>0.23499999999999999</v>
      </c>
      <c r="O2" s="10">
        <v>0.154</v>
      </c>
      <c r="P2">
        <v>33.5</v>
      </c>
      <c r="Q2" s="10">
        <v>0.16900000000000001</v>
      </c>
      <c r="R2" s="10">
        <v>0.13300000000000001</v>
      </c>
      <c r="S2" s="11">
        <v>55550</v>
      </c>
      <c r="T2" s="10">
        <v>0.17299999999999999</v>
      </c>
      <c r="U2" s="10">
        <v>0.71599999999999997</v>
      </c>
      <c r="V2" s="10">
        <v>0.182</v>
      </c>
      <c r="W2" s="10">
        <v>0.55900000000000005</v>
      </c>
      <c r="X2" s="10">
        <v>0.155</v>
      </c>
      <c r="Y2" s="10">
        <v>0.253</v>
      </c>
      <c r="Z2" s="10">
        <v>0.14499999999999999</v>
      </c>
      <c r="AA2" s="10">
        <v>0.13600000000000001</v>
      </c>
      <c r="AB2" s="10">
        <v>0.13100000000000001</v>
      </c>
      <c r="AC2" s="10">
        <v>0.10199999999999999</v>
      </c>
      <c r="AD2" s="10">
        <v>8.5000000000000006E-2</v>
      </c>
      <c r="AE2" s="10">
        <v>7.1999999999999995E-2</v>
      </c>
      <c r="AF2" s="10">
        <v>7.0000000000000007E-2</v>
      </c>
      <c r="AG2" s="10">
        <v>3.9E-2</v>
      </c>
      <c r="AI2" s="13">
        <v>96.7</v>
      </c>
    </row>
    <row r="3" spans="1:35" x14ac:dyDescent="0.35">
      <c r="A3" t="s">
        <v>98</v>
      </c>
      <c r="B3" s="9">
        <v>11089</v>
      </c>
      <c r="C3" s="9">
        <v>9333</v>
      </c>
      <c r="D3" s="15">
        <v>68</v>
      </c>
      <c r="E3" s="15">
        <v>16</v>
      </c>
      <c r="F3" s="15">
        <f t="shared" ref="F3:F9" si="0">( MIN(1,MAX(0,((B3/C3)-0.8)/(1.2-0.8)))*100*0.4 + D3*0.45 + E3*0.15)</f>
        <v>71.814957677059908</v>
      </c>
      <c r="H3">
        <v>42.9</v>
      </c>
      <c r="I3" s="9">
        <v>22692</v>
      </c>
      <c r="J3" s="10">
        <v>0.51500000000000001</v>
      </c>
      <c r="K3" s="9">
        <v>9333</v>
      </c>
      <c r="L3" s="11">
        <v>57020</v>
      </c>
      <c r="M3" s="9">
        <v>11089</v>
      </c>
      <c r="N3" s="10">
        <v>0.19500000000000001</v>
      </c>
      <c r="O3" s="10">
        <v>0.156</v>
      </c>
      <c r="P3">
        <v>40</v>
      </c>
      <c r="Q3" s="10">
        <v>0.20499999999999999</v>
      </c>
      <c r="R3" s="10">
        <v>9.2999999999999999E-2</v>
      </c>
      <c r="S3" s="11">
        <v>57020</v>
      </c>
      <c r="T3" s="10">
        <v>0.20399999999999999</v>
      </c>
      <c r="U3" s="10">
        <v>0.80100000000000005</v>
      </c>
      <c r="V3" s="10">
        <v>0.158</v>
      </c>
      <c r="W3" s="10">
        <v>0.67800000000000005</v>
      </c>
      <c r="X3" s="10">
        <v>0.20499999999999999</v>
      </c>
      <c r="Y3" s="10">
        <v>0.224</v>
      </c>
      <c r="Z3" s="10">
        <v>4.2999999999999997E-2</v>
      </c>
      <c r="AA3" s="10">
        <v>0.13200000000000001</v>
      </c>
      <c r="AB3" s="10">
        <v>0.13</v>
      </c>
      <c r="AC3" s="10">
        <v>7.2999999999999995E-2</v>
      </c>
      <c r="AD3" s="10">
        <v>9.4E-2</v>
      </c>
      <c r="AE3" s="10">
        <v>5.8999999999999997E-2</v>
      </c>
      <c r="AF3" s="10">
        <v>6.5000000000000002E-2</v>
      </c>
      <c r="AG3" s="10">
        <v>6.0000000000000001E-3</v>
      </c>
      <c r="AI3" s="14">
        <v>92.1</v>
      </c>
    </row>
    <row r="4" spans="1:35" x14ac:dyDescent="0.35">
      <c r="A4" t="s">
        <v>96</v>
      </c>
      <c r="B4" s="9">
        <v>11384</v>
      </c>
      <c r="C4" s="9">
        <v>9787</v>
      </c>
      <c r="D4" s="15">
        <v>56</v>
      </c>
      <c r="E4" s="15">
        <v>14</v>
      </c>
      <c r="F4" s="15">
        <f t="shared" si="0"/>
        <v>63.617564115663633</v>
      </c>
      <c r="H4">
        <v>49.9</v>
      </c>
      <c r="I4" s="9">
        <v>24725</v>
      </c>
      <c r="J4" s="10">
        <v>0.56799999999999995</v>
      </c>
      <c r="K4" s="9">
        <v>9787</v>
      </c>
      <c r="L4" s="11">
        <v>52954</v>
      </c>
      <c r="M4" s="9">
        <v>11384</v>
      </c>
      <c r="N4" s="10">
        <v>0.222</v>
      </c>
      <c r="O4" s="10">
        <v>0.14099999999999999</v>
      </c>
      <c r="P4">
        <v>36.700000000000003</v>
      </c>
      <c r="Q4" s="10">
        <v>0.16300000000000001</v>
      </c>
      <c r="R4" s="10">
        <v>7.1999999999999995E-2</v>
      </c>
      <c r="S4" s="11">
        <v>52954</v>
      </c>
      <c r="T4" s="10">
        <v>0.16700000000000001</v>
      </c>
      <c r="U4" s="10">
        <v>0.79500000000000004</v>
      </c>
      <c r="V4" s="10">
        <v>0.14000000000000001</v>
      </c>
      <c r="W4" s="10">
        <v>0.56399999999999995</v>
      </c>
      <c r="X4" s="10">
        <v>0.219</v>
      </c>
      <c r="Y4" s="10">
        <v>0.251</v>
      </c>
      <c r="Z4" s="10">
        <v>3.7999999999999999E-2</v>
      </c>
      <c r="AA4" s="10">
        <v>0.14599999999999999</v>
      </c>
      <c r="AB4" s="10">
        <v>0.127</v>
      </c>
      <c r="AC4" s="10">
        <v>6.9000000000000006E-2</v>
      </c>
      <c r="AD4" s="10">
        <v>0.13900000000000001</v>
      </c>
      <c r="AE4" s="10">
        <v>7.0999999999999994E-2</v>
      </c>
      <c r="AF4" s="10">
        <v>6.8000000000000005E-2</v>
      </c>
      <c r="AG4" s="10">
        <v>1.2999999999999999E-2</v>
      </c>
      <c r="AI4" s="14">
        <v>92.7</v>
      </c>
    </row>
    <row r="5" spans="1:35" x14ac:dyDescent="0.35">
      <c r="A5" t="s">
        <v>94</v>
      </c>
      <c r="B5" s="9">
        <v>39738</v>
      </c>
      <c r="C5" s="9">
        <v>33438</v>
      </c>
      <c r="D5" s="15">
        <v>48</v>
      </c>
      <c r="E5" s="15">
        <v>16</v>
      </c>
      <c r="F5" s="15">
        <f t="shared" si="0"/>
        <v>62.840839763143734</v>
      </c>
      <c r="H5">
        <v>81.400000000000006</v>
      </c>
      <c r="I5" s="9">
        <v>90381</v>
      </c>
      <c r="J5" s="10">
        <v>0.46899999999999997</v>
      </c>
      <c r="K5" s="9">
        <v>33438</v>
      </c>
      <c r="L5" s="11">
        <v>55506</v>
      </c>
      <c r="M5" s="9">
        <v>39738</v>
      </c>
      <c r="N5" s="10">
        <v>0.2</v>
      </c>
      <c r="O5" s="10">
        <v>0.111</v>
      </c>
      <c r="P5">
        <v>34.200000000000003</v>
      </c>
      <c r="Q5" s="10">
        <v>0.123</v>
      </c>
      <c r="R5" s="10">
        <v>0.17100000000000001</v>
      </c>
      <c r="S5" s="11">
        <v>55506</v>
      </c>
      <c r="T5" s="10">
        <v>0.19800000000000001</v>
      </c>
      <c r="U5" s="10">
        <v>0.73499999999999999</v>
      </c>
      <c r="V5" s="10">
        <v>0.159</v>
      </c>
      <c r="W5" s="10">
        <v>0.47899999999999998</v>
      </c>
      <c r="X5" s="10">
        <v>0.253</v>
      </c>
      <c r="Y5" s="10">
        <v>0.23100000000000001</v>
      </c>
      <c r="Z5" s="10">
        <v>0.11</v>
      </c>
      <c r="AA5" s="10">
        <v>0.13700000000000001</v>
      </c>
      <c r="AB5" s="10">
        <v>0.13400000000000001</v>
      </c>
      <c r="AC5" s="10">
        <v>9.6000000000000002E-2</v>
      </c>
      <c r="AD5" s="10">
        <v>8.6999999999999994E-2</v>
      </c>
      <c r="AE5" s="10">
        <v>8.3000000000000004E-2</v>
      </c>
      <c r="AF5" s="10">
        <v>6.0999999999999999E-2</v>
      </c>
      <c r="AG5" s="10">
        <v>0.01</v>
      </c>
      <c r="AI5" s="14">
        <v>84.7</v>
      </c>
    </row>
    <row r="6" spans="1:35" x14ac:dyDescent="0.35">
      <c r="A6" t="s">
        <v>119</v>
      </c>
      <c r="B6" s="9">
        <v>43762</v>
      </c>
      <c r="C6" s="9">
        <v>38289</v>
      </c>
      <c r="D6" s="15">
        <v>57</v>
      </c>
      <c r="E6" s="15">
        <v>13</v>
      </c>
      <c r="F6" s="15">
        <f t="shared" si="0"/>
        <v>61.893922536498735</v>
      </c>
      <c r="H6">
        <v>72</v>
      </c>
      <c r="I6" s="9">
        <v>102316</v>
      </c>
      <c r="J6" s="10">
        <v>0.54100000000000004</v>
      </c>
      <c r="K6" s="9">
        <v>38289</v>
      </c>
      <c r="L6" s="11">
        <v>63835</v>
      </c>
      <c r="M6" s="9">
        <v>43762</v>
      </c>
      <c r="N6" s="10">
        <v>0.26900000000000002</v>
      </c>
      <c r="O6" s="10">
        <v>0.16600000000000001</v>
      </c>
      <c r="P6">
        <v>35.299999999999997</v>
      </c>
      <c r="Q6" s="10">
        <v>0.16</v>
      </c>
      <c r="R6" s="10">
        <v>8.5000000000000006E-2</v>
      </c>
      <c r="S6" s="11">
        <v>63835</v>
      </c>
      <c r="T6" s="10">
        <v>0.13900000000000001</v>
      </c>
      <c r="U6" s="10">
        <v>0.60699999999999998</v>
      </c>
      <c r="V6" s="10">
        <v>0.125</v>
      </c>
      <c r="W6" s="10">
        <v>0.56499999999999995</v>
      </c>
      <c r="X6" s="10">
        <v>0.16300000000000001</v>
      </c>
      <c r="Y6" s="10">
        <v>0.21099999999999999</v>
      </c>
      <c r="Z6" s="10">
        <v>6.3E-2</v>
      </c>
      <c r="AA6" s="10">
        <v>0.17599999999999999</v>
      </c>
      <c r="AB6" s="10">
        <v>0.13200000000000001</v>
      </c>
      <c r="AC6" s="10">
        <v>9.1999999999999998E-2</v>
      </c>
      <c r="AD6" s="10">
        <v>7.2999999999999995E-2</v>
      </c>
      <c r="AE6" s="10">
        <v>0.111</v>
      </c>
      <c r="AF6" s="10">
        <v>5.5E-2</v>
      </c>
      <c r="AG6" s="10">
        <v>4.0000000000000001E-3</v>
      </c>
      <c r="AI6" s="14">
        <v>81.5</v>
      </c>
    </row>
    <row r="7" spans="1:35" x14ac:dyDescent="0.35">
      <c r="A7" t="s">
        <v>149</v>
      </c>
      <c r="B7" s="9">
        <v>8043</v>
      </c>
      <c r="C7" s="9">
        <v>6688</v>
      </c>
      <c r="D7" s="15">
        <v>45</v>
      </c>
      <c r="E7" s="15">
        <v>17</v>
      </c>
      <c r="F7" s="15">
        <f t="shared" si="0"/>
        <v>62.8</v>
      </c>
      <c r="H7">
        <v>19.7</v>
      </c>
      <c r="I7" s="9">
        <v>16481</v>
      </c>
      <c r="J7" s="10">
        <v>0.60199999999999998</v>
      </c>
      <c r="K7" s="9">
        <v>6688</v>
      </c>
      <c r="L7" s="11">
        <v>51792</v>
      </c>
      <c r="M7" s="9">
        <v>8043</v>
      </c>
      <c r="N7" s="10">
        <v>0.30299999999999999</v>
      </c>
      <c r="O7" s="10">
        <v>0.19900000000000001</v>
      </c>
      <c r="P7">
        <v>32.700000000000003</v>
      </c>
      <c r="Q7" s="10">
        <v>0.14399999999999999</v>
      </c>
      <c r="R7" s="10">
        <v>6.8000000000000005E-2</v>
      </c>
      <c r="S7" s="11">
        <v>51792</v>
      </c>
      <c r="T7" s="10">
        <v>0.161</v>
      </c>
      <c r="U7" s="10">
        <v>0.64200000000000002</v>
      </c>
      <c r="V7" s="10">
        <v>0.16900000000000001</v>
      </c>
      <c r="W7" s="10">
        <v>0.45</v>
      </c>
      <c r="X7" s="10">
        <v>0.14899999999999999</v>
      </c>
      <c r="Y7" s="10">
        <v>0.251</v>
      </c>
      <c r="Z7" s="10">
        <v>9.2999999999999999E-2</v>
      </c>
      <c r="AA7" s="10">
        <v>0.16600000000000001</v>
      </c>
      <c r="AB7" s="10">
        <v>0.11700000000000001</v>
      </c>
      <c r="AC7" s="10">
        <v>0.115</v>
      </c>
      <c r="AD7" s="10">
        <v>7.4999999999999997E-2</v>
      </c>
      <c r="AE7" s="10">
        <v>5.1999999999999998E-2</v>
      </c>
      <c r="AF7" s="10">
        <v>6.0999999999999999E-2</v>
      </c>
      <c r="AG7" s="10">
        <v>1.4E-2</v>
      </c>
      <c r="AI7" s="14">
        <v>93.2</v>
      </c>
    </row>
    <row r="8" spans="1:35" x14ac:dyDescent="0.35">
      <c r="A8" t="s">
        <v>150</v>
      </c>
      <c r="B8" s="9">
        <v>7735</v>
      </c>
      <c r="C8" s="9">
        <v>6391</v>
      </c>
      <c r="D8" s="15">
        <v>52</v>
      </c>
      <c r="E8" s="15">
        <v>17</v>
      </c>
      <c r="F8" s="15">
        <f t="shared" si="0"/>
        <v>65.95</v>
      </c>
      <c r="H8">
        <v>22</v>
      </c>
      <c r="I8" s="9">
        <v>16051</v>
      </c>
      <c r="J8" s="10">
        <v>0.55300000000000005</v>
      </c>
      <c r="K8" s="9">
        <v>6391</v>
      </c>
      <c r="L8" s="11">
        <v>55039</v>
      </c>
      <c r="M8" s="9">
        <v>7735</v>
      </c>
      <c r="N8" s="10">
        <v>0.20300000000000001</v>
      </c>
      <c r="O8" s="10">
        <v>0.15</v>
      </c>
      <c r="P8">
        <v>36.9</v>
      </c>
      <c r="Q8" s="10">
        <v>0.16200000000000001</v>
      </c>
      <c r="R8" s="10">
        <v>6.5000000000000002E-2</v>
      </c>
      <c r="S8" s="11">
        <v>55039</v>
      </c>
      <c r="T8" s="10">
        <v>0.189</v>
      </c>
      <c r="U8" s="10">
        <v>0.71899999999999997</v>
      </c>
      <c r="V8" s="10">
        <v>0.17399999999999999</v>
      </c>
      <c r="W8" s="10">
        <v>0.52400000000000002</v>
      </c>
      <c r="X8" s="10">
        <v>0.19700000000000001</v>
      </c>
      <c r="Y8" s="10">
        <v>0.21299999999999999</v>
      </c>
      <c r="Z8" s="10">
        <v>4.7E-2</v>
      </c>
      <c r="AA8" s="10">
        <v>0.14599999999999999</v>
      </c>
      <c r="AB8" s="10">
        <v>0.129</v>
      </c>
      <c r="AC8" s="10">
        <v>8.5000000000000006E-2</v>
      </c>
      <c r="AD8" s="10">
        <v>0.115</v>
      </c>
      <c r="AE8" s="10">
        <v>8.5000000000000006E-2</v>
      </c>
      <c r="AF8" s="10">
        <v>5.0999999999999997E-2</v>
      </c>
      <c r="AG8" s="10">
        <v>8.9999999999999993E-3</v>
      </c>
      <c r="AI8" s="14">
        <v>92.4</v>
      </c>
    </row>
    <row r="9" spans="1:35" x14ac:dyDescent="0.35">
      <c r="A9" t="s">
        <v>97</v>
      </c>
      <c r="B9" s="9">
        <v>314255</v>
      </c>
      <c r="C9" s="9">
        <v>290311</v>
      </c>
      <c r="D9" s="15">
        <v>57</v>
      </c>
      <c r="E9" s="15">
        <v>8</v>
      </c>
      <c r="F9" s="15">
        <f t="shared" si="0"/>
        <v>55.097706769636716</v>
      </c>
      <c r="H9">
        <v>606.4</v>
      </c>
      <c r="I9" s="9">
        <v>681054</v>
      </c>
      <c r="J9" s="10">
        <v>0.64</v>
      </c>
      <c r="K9" s="9">
        <v>290311</v>
      </c>
      <c r="L9" s="11">
        <v>70040</v>
      </c>
      <c r="M9" s="9">
        <v>314255</v>
      </c>
      <c r="N9" s="10">
        <v>0.36799999999999999</v>
      </c>
      <c r="O9" s="10">
        <v>0.124</v>
      </c>
      <c r="P9">
        <v>35.200000000000003</v>
      </c>
      <c r="Q9" s="10">
        <v>0.14000000000000001</v>
      </c>
      <c r="R9" s="10">
        <v>6.8000000000000005E-2</v>
      </c>
      <c r="S9" s="11">
        <v>70040</v>
      </c>
      <c r="T9" s="10">
        <v>0.153</v>
      </c>
      <c r="U9" s="10">
        <v>0.69899999999999995</v>
      </c>
      <c r="V9" s="10">
        <v>7.5999999999999998E-2</v>
      </c>
      <c r="W9" s="10">
        <v>0.56999999999999995</v>
      </c>
      <c r="X9" s="10">
        <v>0.152</v>
      </c>
      <c r="Y9" s="10">
        <v>0.245</v>
      </c>
      <c r="Z9" s="10">
        <v>7.5999999999999998E-2</v>
      </c>
      <c r="AA9" s="10">
        <v>0.13600000000000001</v>
      </c>
      <c r="AB9" s="10">
        <v>0.11700000000000001</v>
      </c>
      <c r="AC9" s="10">
        <v>8.7999999999999995E-2</v>
      </c>
      <c r="AD9" s="10">
        <v>7.1999999999999995E-2</v>
      </c>
      <c r="AE9" s="10">
        <v>7.1999999999999995E-2</v>
      </c>
      <c r="AF9" s="10">
        <v>7.4999999999999997E-2</v>
      </c>
      <c r="AG9" s="10">
        <v>6.0000000000000001E-3</v>
      </c>
      <c r="AI9" s="14">
        <v>84.1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E8CA8-D311-4F26-9EE5-E50CFDF44A21}">
  <dimension ref="A1:Y9"/>
  <sheetViews>
    <sheetView tabSelected="1" workbookViewId="0">
      <selection activeCell="G14" sqref="G14"/>
    </sheetView>
  </sheetViews>
  <sheetFormatPr defaultRowHeight="14.5" x14ac:dyDescent="0.35"/>
  <cols>
    <col min="1" max="1" width="11.6328125" bestFit="1" customWidth="1"/>
    <col min="2" max="2" width="17.1796875" style="15" bestFit="1" customWidth="1"/>
    <col min="3" max="3" width="15.1796875" style="15" bestFit="1" customWidth="1"/>
    <col min="4" max="4" width="18.36328125" style="15" bestFit="1" customWidth="1"/>
    <col min="5" max="5" width="25.7265625" style="15" customWidth="1"/>
    <col min="6" max="6" width="10.08984375" bestFit="1" customWidth="1"/>
    <col min="7" max="7" width="11" style="10" bestFit="1" customWidth="1"/>
    <col min="8" max="8" width="8.7265625" style="10"/>
    <col min="9" max="9" width="13.1796875" style="11" bestFit="1" customWidth="1"/>
    <col min="10" max="13" width="8.7265625" style="10"/>
    <col min="14" max="14" width="17.08984375" style="10" bestFit="1" customWidth="1"/>
    <col min="15" max="20" width="8.7265625" style="10"/>
    <col min="21" max="21" width="10.36328125" style="10" customWidth="1"/>
    <col min="22" max="22" width="11.36328125" style="10" bestFit="1" customWidth="1"/>
    <col min="23" max="23" width="9.6328125" style="10" bestFit="1" customWidth="1"/>
    <col min="25" max="25" width="8.7265625" style="14"/>
  </cols>
  <sheetData>
    <row r="1" spans="1:25" x14ac:dyDescent="0.35">
      <c r="A1" t="s">
        <v>142</v>
      </c>
      <c r="B1" s="15" t="s">
        <v>154</v>
      </c>
      <c r="C1" s="15" t="s">
        <v>160</v>
      </c>
      <c r="D1" s="15" t="s">
        <v>155</v>
      </c>
      <c r="E1" s="15" t="s">
        <v>178</v>
      </c>
      <c r="F1" t="s">
        <v>147</v>
      </c>
      <c r="G1" s="10" t="s">
        <v>156</v>
      </c>
      <c r="H1" s="10" t="s">
        <v>157</v>
      </c>
      <c r="I1" s="11" t="s">
        <v>158</v>
      </c>
      <c r="J1" s="10" t="s">
        <v>159</v>
      </c>
      <c r="K1" s="10" t="s">
        <v>160</v>
      </c>
      <c r="L1" s="10" t="s">
        <v>161</v>
      </c>
      <c r="M1" s="10" t="s">
        <v>162</v>
      </c>
      <c r="N1" s="10" t="s">
        <v>163</v>
      </c>
      <c r="O1" s="10" t="s">
        <v>164</v>
      </c>
      <c r="P1" s="10" t="s">
        <v>165</v>
      </c>
      <c r="Q1" s="10" t="s">
        <v>166</v>
      </c>
      <c r="R1" s="10" t="s">
        <v>168</v>
      </c>
      <c r="S1" s="10" t="s">
        <v>167</v>
      </c>
      <c r="T1" s="10" t="s">
        <v>169</v>
      </c>
      <c r="U1" s="10" t="s">
        <v>170</v>
      </c>
      <c r="V1" s="10" t="s">
        <v>171</v>
      </c>
      <c r="W1" s="10" t="s">
        <v>172</v>
      </c>
      <c r="Y1" s="13" t="s">
        <v>173</v>
      </c>
    </row>
    <row r="2" spans="1:25" x14ac:dyDescent="0.35">
      <c r="A2" t="s">
        <v>99</v>
      </c>
      <c r="B2" s="15">
        <v>24</v>
      </c>
      <c r="C2" s="15">
        <v>72</v>
      </c>
      <c r="D2" s="15">
        <v>15</v>
      </c>
      <c r="E2" s="17">
        <f>((_xlfn.RANK.EQ(B2,$B$2:$B$9,0)-1)/(COUNTA($B$2:$B$9)-1)*100+(_xlfn.RANK.EQ(C2,$C$2:$C$9,0)-1)/(COUNTA($C$2:$C$9)-1)*100+(_xlfn.RANK.EQ(D2,$D$2:$D$9,1)-1)/(COUNTA($D$2:$D$9)-1)*100)/3</f>
        <v>42.857142857142854</v>
      </c>
      <c r="F2">
        <v>33.5</v>
      </c>
      <c r="G2" s="10">
        <v>0.16900000000000001</v>
      </c>
      <c r="H2" s="10">
        <v>0.13300000000000001</v>
      </c>
      <c r="I2" s="11">
        <v>55550</v>
      </c>
      <c r="J2" s="10">
        <v>0.17299999999999999</v>
      </c>
      <c r="K2" s="10">
        <v>0.71599999999999997</v>
      </c>
      <c r="L2" s="10">
        <v>0.182</v>
      </c>
      <c r="M2" s="10">
        <v>0.55900000000000005</v>
      </c>
      <c r="N2" s="10">
        <v>0.155</v>
      </c>
      <c r="O2" s="10">
        <v>0.253</v>
      </c>
      <c r="P2" s="10">
        <v>0.14499999999999999</v>
      </c>
      <c r="Q2" s="10">
        <v>0.13600000000000001</v>
      </c>
      <c r="R2" s="10">
        <v>0.13100000000000001</v>
      </c>
      <c r="S2" s="10">
        <v>0.10199999999999999</v>
      </c>
      <c r="T2" s="10">
        <v>8.5000000000000006E-2</v>
      </c>
      <c r="U2" s="10">
        <v>7.1999999999999995E-2</v>
      </c>
      <c r="V2" s="10">
        <v>7.0000000000000007E-2</v>
      </c>
      <c r="W2" s="10">
        <v>3.9E-2</v>
      </c>
      <c r="Y2" s="13">
        <v>96.7</v>
      </c>
    </row>
    <row r="3" spans="1:25" x14ac:dyDescent="0.35">
      <c r="A3" t="s">
        <v>98</v>
      </c>
      <c r="B3" s="15">
        <v>20</v>
      </c>
      <c r="C3" s="15">
        <v>80</v>
      </c>
      <c r="D3" s="15">
        <v>16</v>
      </c>
      <c r="E3" s="17">
        <f t="shared" ref="E3:E9" si="0" xml:space="preserve"> ( (_xlfn.RANK.EQ(B3,$B$2:$B$9,0)-1)/(COUNTA($B$2:$B$9)-1)*100+(_xlfn.RANK.EQ(C3,$C$2:$C$9,0)-1)/(COUNTA($C$2:$C$9)-1)*100+(_xlfn.RANK.EQ(D3,$D$2:$D$9,1)-1)/(COUNTA($D$2:$D$9)-1)*100) / 3</f>
        <v>47.61904761904762</v>
      </c>
      <c r="F3">
        <v>40</v>
      </c>
      <c r="G3" s="10">
        <v>0.20499999999999999</v>
      </c>
      <c r="H3" s="10">
        <v>9.2999999999999999E-2</v>
      </c>
      <c r="I3" s="11">
        <v>57020</v>
      </c>
      <c r="J3" s="10">
        <v>0.20399999999999999</v>
      </c>
      <c r="K3" s="10">
        <v>0.80100000000000005</v>
      </c>
      <c r="L3" s="10">
        <v>0.158</v>
      </c>
      <c r="M3" s="10">
        <v>0.67800000000000005</v>
      </c>
      <c r="N3" s="10">
        <v>0.20499999999999999</v>
      </c>
      <c r="O3" s="10">
        <v>0.224</v>
      </c>
      <c r="P3" s="10">
        <v>4.2999999999999997E-2</v>
      </c>
      <c r="Q3" s="10">
        <v>0.13200000000000001</v>
      </c>
      <c r="R3" s="10">
        <v>0.13</v>
      </c>
      <c r="S3" s="10">
        <v>7.2999999999999995E-2</v>
      </c>
      <c r="T3" s="10">
        <v>9.4E-2</v>
      </c>
      <c r="U3" s="10">
        <v>5.8999999999999997E-2</v>
      </c>
      <c r="V3" s="10">
        <v>6.5000000000000002E-2</v>
      </c>
      <c r="W3" s="10">
        <v>6.0000000000000001E-3</v>
      </c>
      <c r="Y3" s="14">
        <v>92.1</v>
      </c>
    </row>
    <row r="4" spans="1:25" x14ac:dyDescent="0.35">
      <c r="A4" t="s">
        <v>96</v>
      </c>
      <c r="B4" s="15">
        <v>22</v>
      </c>
      <c r="C4" s="15">
        <v>80</v>
      </c>
      <c r="D4" s="15">
        <v>14</v>
      </c>
      <c r="E4" s="17">
        <f t="shared" si="0"/>
        <v>28.571428571428569</v>
      </c>
      <c r="F4">
        <v>36.700000000000003</v>
      </c>
      <c r="G4" s="10">
        <v>0.16300000000000001</v>
      </c>
      <c r="H4" s="10">
        <v>7.1999999999999995E-2</v>
      </c>
      <c r="I4" s="11">
        <v>52954</v>
      </c>
      <c r="J4" s="10">
        <v>0.16700000000000001</v>
      </c>
      <c r="K4" s="10">
        <v>0.79500000000000004</v>
      </c>
      <c r="L4" s="10">
        <v>0.14000000000000001</v>
      </c>
      <c r="M4" s="10">
        <v>0.56399999999999995</v>
      </c>
      <c r="N4" s="10">
        <v>0.219</v>
      </c>
      <c r="O4" s="10">
        <v>0.251</v>
      </c>
      <c r="P4" s="10">
        <v>3.7999999999999999E-2</v>
      </c>
      <c r="Q4" s="10">
        <v>0.14599999999999999</v>
      </c>
      <c r="R4" s="10">
        <v>0.127</v>
      </c>
      <c r="S4" s="10">
        <v>6.9000000000000006E-2</v>
      </c>
      <c r="T4" s="10">
        <v>0.13900000000000001</v>
      </c>
      <c r="U4" s="10">
        <v>7.0999999999999994E-2</v>
      </c>
      <c r="V4" s="10">
        <v>6.8000000000000005E-2</v>
      </c>
      <c r="W4" s="10">
        <v>1.2999999999999999E-2</v>
      </c>
      <c r="Y4" s="14">
        <v>92.7</v>
      </c>
    </row>
    <row r="5" spans="1:25" x14ac:dyDescent="0.35">
      <c r="A5" t="s">
        <v>94</v>
      </c>
      <c r="B5" s="15">
        <v>20</v>
      </c>
      <c r="C5" s="15">
        <v>74</v>
      </c>
      <c r="D5" s="15">
        <v>11</v>
      </c>
      <c r="E5" s="17">
        <f t="shared" si="0"/>
        <v>33.333333333333336</v>
      </c>
      <c r="F5">
        <v>34.200000000000003</v>
      </c>
      <c r="G5" s="10">
        <v>0.123</v>
      </c>
      <c r="H5" s="10">
        <v>0.17100000000000001</v>
      </c>
      <c r="I5" s="11">
        <v>55506</v>
      </c>
      <c r="J5" s="10">
        <v>0.19800000000000001</v>
      </c>
      <c r="K5" s="10">
        <v>0.73499999999999999</v>
      </c>
      <c r="L5" s="10">
        <v>0.159</v>
      </c>
      <c r="M5" s="10">
        <v>0.47899999999999998</v>
      </c>
      <c r="N5" s="10">
        <v>0.253</v>
      </c>
      <c r="O5" s="10">
        <v>0.23100000000000001</v>
      </c>
      <c r="P5" s="10">
        <v>0.11</v>
      </c>
      <c r="Q5" s="10">
        <v>0.13700000000000001</v>
      </c>
      <c r="R5" s="10">
        <v>0.13400000000000001</v>
      </c>
      <c r="S5" s="10">
        <v>9.6000000000000002E-2</v>
      </c>
      <c r="T5" s="10">
        <v>8.6999999999999994E-2</v>
      </c>
      <c r="U5" s="10">
        <v>8.3000000000000004E-2</v>
      </c>
      <c r="V5" s="10">
        <v>6.0999999999999999E-2</v>
      </c>
      <c r="W5" s="10">
        <v>0.01</v>
      </c>
      <c r="Y5" s="14">
        <v>84.7</v>
      </c>
    </row>
    <row r="6" spans="1:25" x14ac:dyDescent="0.35">
      <c r="A6" t="s">
        <v>119</v>
      </c>
      <c r="B6" s="15">
        <v>27</v>
      </c>
      <c r="C6" s="15">
        <v>61</v>
      </c>
      <c r="D6" s="15">
        <v>17</v>
      </c>
      <c r="E6" s="17">
        <f t="shared" si="0"/>
        <v>71.428571428571431</v>
      </c>
      <c r="F6">
        <v>35.299999999999997</v>
      </c>
      <c r="G6" s="10">
        <v>0.16</v>
      </c>
      <c r="H6" s="10">
        <v>8.5000000000000006E-2</v>
      </c>
      <c r="I6" s="11">
        <v>63835</v>
      </c>
      <c r="J6" s="10">
        <v>0.13900000000000001</v>
      </c>
      <c r="K6" s="10">
        <v>0.60699999999999998</v>
      </c>
      <c r="L6" s="10">
        <v>0.125</v>
      </c>
      <c r="M6" s="10">
        <v>0.56499999999999995</v>
      </c>
      <c r="N6" s="10">
        <v>0.16300000000000001</v>
      </c>
      <c r="O6" s="10">
        <v>0.21099999999999999</v>
      </c>
      <c r="P6" s="10">
        <v>6.3E-2</v>
      </c>
      <c r="Q6" s="10">
        <v>0.17599999999999999</v>
      </c>
      <c r="R6" s="10">
        <v>0.13200000000000001</v>
      </c>
      <c r="S6" s="10">
        <v>9.1999999999999998E-2</v>
      </c>
      <c r="T6" s="10">
        <v>7.2999999999999995E-2</v>
      </c>
      <c r="U6" s="10">
        <v>0.111</v>
      </c>
      <c r="V6" s="10">
        <v>5.5E-2</v>
      </c>
      <c r="W6" s="10">
        <v>4.0000000000000001E-3</v>
      </c>
      <c r="Y6" s="14">
        <v>81.5</v>
      </c>
    </row>
    <row r="7" spans="1:25" x14ac:dyDescent="0.35">
      <c r="A7" t="s">
        <v>149</v>
      </c>
      <c r="B7" s="15">
        <v>30</v>
      </c>
      <c r="C7" s="15">
        <v>64</v>
      </c>
      <c r="D7" s="15">
        <v>20</v>
      </c>
      <c r="E7" s="17">
        <f t="shared" si="0"/>
        <v>66.666666666666671</v>
      </c>
      <c r="F7">
        <v>32.700000000000003</v>
      </c>
      <c r="G7" s="10">
        <v>0.14399999999999999</v>
      </c>
      <c r="H7" s="10">
        <v>6.8000000000000005E-2</v>
      </c>
      <c r="I7" s="11">
        <v>51792</v>
      </c>
      <c r="J7" s="10">
        <v>0.161</v>
      </c>
      <c r="K7" s="10">
        <v>0.64200000000000002</v>
      </c>
      <c r="L7" s="10">
        <v>0.16900000000000001</v>
      </c>
      <c r="M7" s="10">
        <v>0.45</v>
      </c>
      <c r="N7" s="10">
        <v>0.14899999999999999</v>
      </c>
      <c r="O7" s="10">
        <v>0.251</v>
      </c>
      <c r="P7" s="10">
        <v>9.2999999999999999E-2</v>
      </c>
      <c r="Q7" s="10">
        <v>0.16600000000000001</v>
      </c>
      <c r="R7" s="10">
        <v>0.11700000000000001</v>
      </c>
      <c r="S7" s="10">
        <v>0.115</v>
      </c>
      <c r="T7" s="10">
        <v>7.4999999999999997E-2</v>
      </c>
      <c r="U7" s="10">
        <v>5.1999999999999998E-2</v>
      </c>
      <c r="V7" s="10">
        <v>6.0999999999999999E-2</v>
      </c>
      <c r="W7" s="10">
        <v>1.4E-2</v>
      </c>
      <c r="Y7" s="14">
        <v>93.2</v>
      </c>
    </row>
    <row r="8" spans="1:25" x14ac:dyDescent="0.35">
      <c r="A8" t="s">
        <v>150</v>
      </c>
      <c r="B8" s="15">
        <v>20</v>
      </c>
      <c r="C8" s="15">
        <v>72</v>
      </c>
      <c r="D8" s="15">
        <v>15</v>
      </c>
      <c r="E8" s="17">
        <f t="shared" si="0"/>
        <v>52.38095238095238</v>
      </c>
      <c r="F8">
        <v>36.9</v>
      </c>
      <c r="G8" s="10">
        <v>0.16200000000000001</v>
      </c>
      <c r="H8" s="10">
        <v>6.5000000000000002E-2</v>
      </c>
      <c r="I8" s="11">
        <v>55039</v>
      </c>
      <c r="J8" s="10">
        <v>0.189</v>
      </c>
      <c r="K8" s="10">
        <v>0.71899999999999997</v>
      </c>
      <c r="L8" s="10">
        <v>0.17399999999999999</v>
      </c>
      <c r="M8" s="10">
        <v>0.52400000000000002</v>
      </c>
      <c r="N8" s="10">
        <v>0.19700000000000001</v>
      </c>
      <c r="O8" s="10">
        <v>0.21299999999999999</v>
      </c>
      <c r="P8" s="10">
        <v>4.7E-2</v>
      </c>
      <c r="Q8" s="10">
        <v>0.14599999999999999</v>
      </c>
      <c r="R8" s="10">
        <v>0.129</v>
      </c>
      <c r="S8" s="10">
        <v>8.5000000000000006E-2</v>
      </c>
      <c r="T8" s="10">
        <v>0.115</v>
      </c>
      <c r="U8" s="10">
        <v>8.5000000000000006E-2</v>
      </c>
      <c r="V8" s="10">
        <v>5.0999999999999997E-2</v>
      </c>
      <c r="W8" s="10">
        <v>8.9999999999999993E-3</v>
      </c>
      <c r="Y8" s="14">
        <v>92.4</v>
      </c>
    </row>
    <row r="9" spans="1:25" x14ac:dyDescent="0.35">
      <c r="A9" t="s">
        <v>97</v>
      </c>
      <c r="B9" s="15">
        <v>37</v>
      </c>
      <c r="C9" s="15">
        <v>70</v>
      </c>
      <c r="D9" s="15">
        <v>12</v>
      </c>
      <c r="E9" s="17">
        <f t="shared" si="0"/>
        <v>28.571428571428573</v>
      </c>
      <c r="F9">
        <v>35.200000000000003</v>
      </c>
      <c r="G9" s="10">
        <v>0.14000000000000001</v>
      </c>
      <c r="H9" s="10">
        <v>6.8000000000000005E-2</v>
      </c>
      <c r="I9" s="11">
        <v>70040</v>
      </c>
      <c r="J9" s="10">
        <v>0.153</v>
      </c>
      <c r="K9" s="10">
        <v>0.69899999999999995</v>
      </c>
      <c r="L9" s="10">
        <v>7.5999999999999998E-2</v>
      </c>
      <c r="M9" s="10">
        <v>0.56999999999999995</v>
      </c>
      <c r="N9" s="10">
        <v>0.152</v>
      </c>
      <c r="O9" s="10">
        <v>0.245</v>
      </c>
      <c r="P9" s="10">
        <v>7.5999999999999998E-2</v>
      </c>
      <c r="Q9" s="10">
        <v>0.13600000000000001</v>
      </c>
      <c r="R9" s="10">
        <v>0.11700000000000001</v>
      </c>
      <c r="S9" s="10">
        <v>8.7999999999999995E-2</v>
      </c>
      <c r="T9" s="10">
        <v>7.1999999999999995E-2</v>
      </c>
      <c r="U9" s="10">
        <v>7.1999999999999995E-2</v>
      </c>
      <c r="V9" s="10">
        <v>7.4999999999999997E-2</v>
      </c>
      <c r="W9" s="10">
        <v>6.0000000000000001E-3</v>
      </c>
      <c r="Y9" s="14">
        <v>84.1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3D417-7DB6-4FFE-B003-E166C4CDEB12}">
  <dimension ref="A1:AI9"/>
  <sheetViews>
    <sheetView workbookViewId="0">
      <selection activeCell="F2" sqref="F2"/>
    </sheetView>
  </sheetViews>
  <sheetFormatPr defaultRowHeight="14.5" x14ac:dyDescent="0.35"/>
  <cols>
    <col min="1" max="1" width="11.6328125" bestFit="1" customWidth="1"/>
    <col min="2" max="2" width="10.08984375" style="1" bestFit="1" customWidth="1"/>
    <col min="3" max="3" width="8.7265625" style="15"/>
    <col min="4" max="4" width="11" style="15" bestFit="1" customWidth="1"/>
    <col min="5" max="5" width="8.7265625" style="15"/>
    <col min="6" max="6" width="11.6328125" style="1" customWidth="1"/>
    <col min="7" max="7" width="11.6328125" customWidth="1"/>
    <col min="8" max="8" width="7.6328125" customWidth="1"/>
    <col min="9" max="9" width="9.453125" bestFit="1" customWidth="1"/>
    <col min="10" max="10" width="10.81640625" style="10" bestFit="1" customWidth="1"/>
    <col min="11" max="11" width="10.36328125" bestFit="1" customWidth="1"/>
    <col min="12" max="12" width="22.36328125" style="11" bestFit="1" customWidth="1"/>
    <col min="13" max="13" width="12" bestFit="1" customWidth="1"/>
    <col min="14" max="14" width="6.90625" style="10" bestFit="1" customWidth="1"/>
    <col min="15" max="15" width="18.36328125" style="10" bestFit="1" customWidth="1"/>
    <col min="16" max="16" width="10.08984375" bestFit="1" customWidth="1"/>
    <col min="17" max="17" width="11" style="10" bestFit="1" customWidth="1"/>
    <col min="18" max="18" width="8.7265625" style="10"/>
    <col min="19" max="19" width="13.1796875" style="11" bestFit="1" customWidth="1"/>
    <col min="20" max="23" width="8.7265625" style="10"/>
    <col min="24" max="24" width="17.08984375" style="10" bestFit="1" customWidth="1"/>
    <col min="25" max="30" width="8.7265625" style="10"/>
    <col min="31" max="31" width="10.36328125" style="10" customWidth="1"/>
    <col min="32" max="32" width="11.36328125" style="10" bestFit="1" customWidth="1"/>
    <col min="33" max="33" width="9.6328125" style="10" bestFit="1" customWidth="1"/>
    <col min="35" max="35" width="8.7265625" style="14"/>
  </cols>
  <sheetData>
    <row r="1" spans="1:35" x14ac:dyDescent="0.35">
      <c r="A1" t="s">
        <v>142</v>
      </c>
      <c r="B1" s="1" t="s">
        <v>147</v>
      </c>
      <c r="C1" s="15" t="s">
        <v>164</v>
      </c>
      <c r="D1" s="15" t="s">
        <v>156</v>
      </c>
      <c r="E1" s="15" t="s">
        <v>157</v>
      </c>
      <c r="F1" s="1" t="s">
        <v>180</v>
      </c>
      <c r="H1" t="s">
        <v>151</v>
      </c>
      <c r="I1" t="s">
        <v>143</v>
      </c>
      <c r="J1" s="10" t="s">
        <v>152</v>
      </c>
      <c r="K1" t="s">
        <v>145</v>
      </c>
      <c r="L1" s="11" t="s">
        <v>153</v>
      </c>
      <c r="M1" t="s">
        <v>146</v>
      </c>
      <c r="N1" s="10" t="s">
        <v>154</v>
      </c>
      <c r="O1" s="10" t="s">
        <v>155</v>
      </c>
      <c r="P1" t="s">
        <v>147</v>
      </c>
      <c r="Q1" s="10" t="s">
        <v>156</v>
      </c>
      <c r="R1" s="10" t="s">
        <v>157</v>
      </c>
      <c r="S1" s="11" t="s">
        <v>158</v>
      </c>
      <c r="T1" s="10" t="s">
        <v>159</v>
      </c>
      <c r="U1" s="10" t="s">
        <v>160</v>
      </c>
      <c r="V1" s="10" t="s">
        <v>161</v>
      </c>
      <c r="W1" s="10" t="s">
        <v>162</v>
      </c>
      <c r="X1" s="10" t="s">
        <v>163</v>
      </c>
      <c r="Y1" s="10" t="s">
        <v>164</v>
      </c>
      <c r="Z1" s="10" t="s">
        <v>165</v>
      </c>
      <c r="AA1" s="10" t="s">
        <v>166</v>
      </c>
      <c r="AB1" s="10" t="s">
        <v>168</v>
      </c>
      <c r="AC1" s="10" t="s">
        <v>167</v>
      </c>
      <c r="AD1" s="10" t="s">
        <v>169</v>
      </c>
      <c r="AE1" s="10" t="s">
        <v>170</v>
      </c>
      <c r="AF1" s="10" t="s">
        <v>171</v>
      </c>
      <c r="AG1" s="10" t="s">
        <v>172</v>
      </c>
      <c r="AI1" s="13" t="s">
        <v>173</v>
      </c>
    </row>
    <row r="2" spans="1:35" x14ac:dyDescent="0.35">
      <c r="A2" t="s">
        <v>99</v>
      </c>
      <c r="B2" s="1">
        <v>33.5</v>
      </c>
      <c r="C2" s="15">
        <v>25</v>
      </c>
      <c r="D2" s="15">
        <v>17</v>
      </c>
      <c r="E2" s="15">
        <v>13</v>
      </c>
      <c r="F2" s="17">
        <f t="shared" ref="F2:F9" si="0">( MAX(0,100 - ABS(B2-35)/20*100) + MAX(0,100 - ABS(C2-D2)/50*100) + MIN(E2/20*100,100) )/3</f>
        <v>80.5</v>
      </c>
      <c r="H2">
        <v>18.399999999999999</v>
      </c>
      <c r="I2" s="9">
        <v>18729</v>
      </c>
      <c r="J2" s="10">
        <v>0.54600000000000004</v>
      </c>
      <c r="K2" s="9">
        <v>7371</v>
      </c>
      <c r="L2" s="11">
        <v>55550</v>
      </c>
      <c r="M2" s="9">
        <v>9021</v>
      </c>
      <c r="N2" s="10">
        <v>0.23499999999999999</v>
      </c>
      <c r="O2" s="10">
        <v>0.154</v>
      </c>
      <c r="P2">
        <v>33.5</v>
      </c>
      <c r="Q2" s="10">
        <v>0.16900000000000001</v>
      </c>
      <c r="R2" s="10">
        <v>0.13300000000000001</v>
      </c>
      <c r="S2" s="11">
        <v>55550</v>
      </c>
      <c r="T2" s="10">
        <v>0.17299999999999999</v>
      </c>
      <c r="U2" s="10">
        <v>0.71599999999999997</v>
      </c>
      <c r="V2" s="10">
        <v>0.182</v>
      </c>
      <c r="W2" s="10">
        <v>0.55900000000000005</v>
      </c>
      <c r="X2" s="10">
        <v>0.155</v>
      </c>
      <c r="Y2" s="10">
        <v>0.253</v>
      </c>
      <c r="Z2" s="10">
        <v>0.14499999999999999</v>
      </c>
      <c r="AA2" s="10">
        <v>0.13600000000000001</v>
      </c>
      <c r="AB2" s="10">
        <v>0.13100000000000001</v>
      </c>
      <c r="AC2" s="10">
        <v>0.10199999999999999</v>
      </c>
      <c r="AD2" s="10">
        <v>8.5000000000000006E-2</v>
      </c>
      <c r="AE2" s="10">
        <v>7.1999999999999995E-2</v>
      </c>
      <c r="AF2" s="10">
        <v>7.0000000000000007E-2</v>
      </c>
      <c r="AG2" s="10">
        <v>3.9E-2</v>
      </c>
      <c r="AI2" s="13">
        <v>96.7</v>
      </c>
    </row>
    <row r="3" spans="1:35" x14ac:dyDescent="0.35">
      <c r="A3" t="s">
        <v>98</v>
      </c>
      <c r="B3" s="1">
        <v>40</v>
      </c>
      <c r="C3" s="15">
        <v>22</v>
      </c>
      <c r="D3" s="15">
        <v>21</v>
      </c>
      <c r="E3" s="15">
        <v>9</v>
      </c>
      <c r="F3" s="17">
        <f t="shared" si="0"/>
        <v>72.666666666666671</v>
      </c>
      <c r="H3">
        <v>42.9</v>
      </c>
      <c r="I3" s="9">
        <v>22692</v>
      </c>
      <c r="J3" s="10">
        <v>0.51500000000000001</v>
      </c>
      <c r="K3" s="9">
        <v>9333</v>
      </c>
      <c r="L3" s="11">
        <v>57020</v>
      </c>
      <c r="M3" s="9">
        <v>11089</v>
      </c>
      <c r="N3" s="10">
        <v>0.19500000000000001</v>
      </c>
      <c r="O3" s="10">
        <v>0.156</v>
      </c>
      <c r="P3">
        <v>40</v>
      </c>
      <c r="Q3" s="10">
        <v>0.20499999999999999</v>
      </c>
      <c r="R3" s="10">
        <v>9.2999999999999999E-2</v>
      </c>
      <c r="S3" s="11">
        <v>57020</v>
      </c>
      <c r="T3" s="10">
        <v>0.20399999999999999</v>
      </c>
      <c r="U3" s="10">
        <v>0.80100000000000005</v>
      </c>
      <c r="V3" s="10">
        <v>0.158</v>
      </c>
      <c r="W3" s="10">
        <v>0.67800000000000005</v>
      </c>
      <c r="X3" s="10">
        <v>0.20499999999999999</v>
      </c>
      <c r="Y3" s="10">
        <v>0.224</v>
      </c>
      <c r="Z3" s="10">
        <v>4.2999999999999997E-2</v>
      </c>
      <c r="AA3" s="10">
        <v>0.13200000000000001</v>
      </c>
      <c r="AB3" s="10">
        <v>0.13</v>
      </c>
      <c r="AC3" s="10">
        <v>7.2999999999999995E-2</v>
      </c>
      <c r="AD3" s="10">
        <v>9.4E-2</v>
      </c>
      <c r="AE3" s="10">
        <v>5.8999999999999997E-2</v>
      </c>
      <c r="AF3" s="10">
        <v>6.5000000000000002E-2</v>
      </c>
      <c r="AG3" s="10">
        <v>6.0000000000000001E-3</v>
      </c>
      <c r="AI3" s="14">
        <v>92.1</v>
      </c>
    </row>
    <row r="4" spans="1:35" x14ac:dyDescent="0.35">
      <c r="A4" t="s">
        <v>96</v>
      </c>
      <c r="B4" s="1">
        <v>36.700000000000003</v>
      </c>
      <c r="C4" s="15">
        <v>25</v>
      </c>
      <c r="D4" s="15">
        <v>16</v>
      </c>
      <c r="E4" s="15">
        <v>7</v>
      </c>
      <c r="F4" s="17">
        <f t="shared" si="0"/>
        <v>69.5</v>
      </c>
      <c r="H4">
        <v>49.9</v>
      </c>
      <c r="I4" s="9">
        <v>24725</v>
      </c>
      <c r="J4" s="10">
        <v>0.56799999999999995</v>
      </c>
      <c r="K4" s="9">
        <v>9787</v>
      </c>
      <c r="L4" s="11">
        <v>52954</v>
      </c>
      <c r="M4" s="9">
        <v>11384</v>
      </c>
      <c r="N4" s="10">
        <v>0.222</v>
      </c>
      <c r="O4" s="10">
        <v>0.14099999999999999</v>
      </c>
      <c r="P4">
        <v>36.700000000000003</v>
      </c>
      <c r="Q4" s="10">
        <v>0.16300000000000001</v>
      </c>
      <c r="R4" s="10">
        <v>7.1999999999999995E-2</v>
      </c>
      <c r="S4" s="11">
        <v>52954</v>
      </c>
      <c r="T4" s="10">
        <v>0.16700000000000001</v>
      </c>
      <c r="U4" s="10">
        <v>0.79500000000000004</v>
      </c>
      <c r="V4" s="10">
        <v>0.14000000000000001</v>
      </c>
      <c r="W4" s="10">
        <v>0.56399999999999995</v>
      </c>
      <c r="X4" s="10">
        <v>0.219</v>
      </c>
      <c r="Y4" s="10">
        <v>0.251</v>
      </c>
      <c r="Z4" s="10">
        <v>3.7999999999999999E-2</v>
      </c>
      <c r="AA4" s="10">
        <v>0.14599999999999999</v>
      </c>
      <c r="AB4" s="10">
        <v>0.127</v>
      </c>
      <c r="AC4" s="10">
        <v>6.9000000000000006E-2</v>
      </c>
      <c r="AD4" s="10">
        <v>0.13900000000000001</v>
      </c>
      <c r="AE4" s="10">
        <v>7.0999999999999994E-2</v>
      </c>
      <c r="AF4" s="10">
        <v>6.8000000000000005E-2</v>
      </c>
      <c r="AG4" s="10">
        <v>1.2999999999999999E-2</v>
      </c>
      <c r="AI4" s="14">
        <v>92.7</v>
      </c>
    </row>
    <row r="5" spans="1:35" x14ac:dyDescent="0.35">
      <c r="A5" t="s">
        <v>94</v>
      </c>
      <c r="B5" s="1">
        <v>34.200000000000003</v>
      </c>
      <c r="C5" s="15">
        <v>23</v>
      </c>
      <c r="D5" s="15">
        <v>12</v>
      </c>
      <c r="E5" s="15">
        <v>17</v>
      </c>
      <c r="F5" s="17">
        <f t="shared" si="0"/>
        <v>86.333333333333329</v>
      </c>
      <c r="H5">
        <v>81.400000000000006</v>
      </c>
      <c r="I5" s="9">
        <v>90381</v>
      </c>
      <c r="J5" s="10">
        <v>0.46899999999999997</v>
      </c>
      <c r="K5" s="9">
        <v>33438</v>
      </c>
      <c r="L5" s="11">
        <v>55506</v>
      </c>
      <c r="M5" s="9">
        <v>39738</v>
      </c>
      <c r="N5" s="10">
        <v>0.2</v>
      </c>
      <c r="O5" s="10">
        <v>0.111</v>
      </c>
      <c r="P5">
        <v>34.200000000000003</v>
      </c>
      <c r="Q5" s="10">
        <v>0.123</v>
      </c>
      <c r="R5" s="10">
        <v>0.17100000000000001</v>
      </c>
      <c r="S5" s="11">
        <v>55506</v>
      </c>
      <c r="T5" s="10">
        <v>0.19800000000000001</v>
      </c>
      <c r="U5" s="10">
        <v>0.73499999999999999</v>
      </c>
      <c r="V5" s="10">
        <v>0.159</v>
      </c>
      <c r="W5" s="10">
        <v>0.47899999999999998</v>
      </c>
      <c r="X5" s="10">
        <v>0.253</v>
      </c>
      <c r="Y5" s="10">
        <v>0.23100000000000001</v>
      </c>
      <c r="Z5" s="10">
        <v>0.11</v>
      </c>
      <c r="AA5" s="10">
        <v>0.13700000000000001</v>
      </c>
      <c r="AB5" s="10">
        <v>0.13400000000000001</v>
      </c>
      <c r="AC5" s="10">
        <v>9.6000000000000002E-2</v>
      </c>
      <c r="AD5" s="10">
        <v>8.6999999999999994E-2</v>
      </c>
      <c r="AE5" s="10">
        <v>8.3000000000000004E-2</v>
      </c>
      <c r="AF5" s="10">
        <v>6.0999999999999999E-2</v>
      </c>
      <c r="AG5" s="10">
        <v>0.01</v>
      </c>
      <c r="AI5" s="14">
        <v>84.7</v>
      </c>
    </row>
    <row r="6" spans="1:35" x14ac:dyDescent="0.35">
      <c r="A6" t="s">
        <v>119</v>
      </c>
      <c r="B6" s="1">
        <v>35.299999999999997</v>
      </c>
      <c r="C6" s="15">
        <v>21</v>
      </c>
      <c r="D6" s="15">
        <v>16</v>
      </c>
      <c r="E6" s="15">
        <v>9</v>
      </c>
      <c r="F6" s="17">
        <f t="shared" si="0"/>
        <v>77.833333333333329</v>
      </c>
      <c r="H6">
        <v>72</v>
      </c>
      <c r="I6" s="9">
        <v>102316</v>
      </c>
      <c r="J6" s="10">
        <v>0.54100000000000004</v>
      </c>
      <c r="K6" s="9">
        <v>38289</v>
      </c>
      <c r="L6" s="11">
        <v>63835</v>
      </c>
      <c r="M6" s="9">
        <v>43762</v>
      </c>
      <c r="N6" s="10">
        <v>0.26900000000000002</v>
      </c>
      <c r="O6" s="10">
        <v>0.16600000000000001</v>
      </c>
      <c r="P6">
        <v>35.299999999999997</v>
      </c>
      <c r="Q6" s="10">
        <v>0.16</v>
      </c>
      <c r="R6" s="10">
        <v>8.5000000000000006E-2</v>
      </c>
      <c r="S6" s="11">
        <v>63835</v>
      </c>
      <c r="T6" s="10">
        <v>0.13900000000000001</v>
      </c>
      <c r="U6" s="10">
        <v>0.60699999999999998</v>
      </c>
      <c r="V6" s="10">
        <v>0.125</v>
      </c>
      <c r="W6" s="10">
        <v>0.56499999999999995</v>
      </c>
      <c r="X6" s="10">
        <v>0.16300000000000001</v>
      </c>
      <c r="Y6" s="10">
        <v>0.21099999999999999</v>
      </c>
      <c r="Z6" s="10">
        <v>6.3E-2</v>
      </c>
      <c r="AA6" s="10">
        <v>0.17599999999999999</v>
      </c>
      <c r="AB6" s="10">
        <v>0.13200000000000001</v>
      </c>
      <c r="AC6" s="10">
        <v>9.1999999999999998E-2</v>
      </c>
      <c r="AD6" s="10">
        <v>7.2999999999999995E-2</v>
      </c>
      <c r="AE6" s="10">
        <v>0.111</v>
      </c>
      <c r="AF6" s="10">
        <v>5.5E-2</v>
      </c>
      <c r="AG6" s="10">
        <v>4.0000000000000001E-3</v>
      </c>
      <c r="AI6" s="14">
        <v>81.5</v>
      </c>
    </row>
    <row r="7" spans="1:35" x14ac:dyDescent="0.35">
      <c r="A7" t="s">
        <v>149</v>
      </c>
      <c r="B7" s="1">
        <v>32.700000000000003</v>
      </c>
      <c r="C7" s="15">
        <v>25</v>
      </c>
      <c r="D7" s="15">
        <v>14</v>
      </c>
      <c r="E7" s="15">
        <v>7</v>
      </c>
      <c r="F7" s="17">
        <f t="shared" si="0"/>
        <v>67.166666666666671</v>
      </c>
      <c r="H7">
        <v>19.7</v>
      </c>
      <c r="I7" s="9">
        <v>16481</v>
      </c>
      <c r="J7" s="10">
        <v>0.60199999999999998</v>
      </c>
      <c r="K7" s="9">
        <v>6688</v>
      </c>
      <c r="L7" s="11">
        <v>51792</v>
      </c>
      <c r="M7" s="9">
        <v>8043</v>
      </c>
      <c r="N7" s="10">
        <v>0.30299999999999999</v>
      </c>
      <c r="O7" s="10">
        <v>0.19900000000000001</v>
      </c>
      <c r="P7">
        <v>32.700000000000003</v>
      </c>
      <c r="Q7" s="10">
        <v>0.14399999999999999</v>
      </c>
      <c r="R7" s="10">
        <v>6.8000000000000005E-2</v>
      </c>
      <c r="S7" s="11">
        <v>51792</v>
      </c>
      <c r="T7" s="10">
        <v>0.161</v>
      </c>
      <c r="U7" s="10">
        <v>0.64200000000000002</v>
      </c>
      <c r="V7" s="10">
        <v>0.16900000000000001</v>
      </c>
      <c r="W7" s="10">
        <v>0.45</v>
      </c>
      <c r="X7" s="10">
        <v>0.14899999999999999</v>
      </c>
      <c r="Y7" s="10">
        <v>0.251</v>
      </c>
      <c r="Z7" s="10">
        <v>9.2999999999999999E-2</v>
      </c>
      <c r="AA7" s="10">
        <v>0.16600000000000001</v>
      </c>
      <c r="AB7" s="10">
        <v>0.11700000000000001</v>
      </c>
      <c r="AC7" s="10">
        <v>0.115</v>
      </c>
      <c r="AD7" s="10">
        <v>7.4999999999999997E-2</v>
      </c>
      <c r="AE7" s="10">
        <v>5.1999999999999998E-2</v>
      </c>
      <c r="AF7" s="10">
        <v>6.0999999999999999E-2</v>
      </c>
      <c r="AG7" s="10">
        <v>1.4E-2</v>
      </c>
      <c r="AI7" s="14">
        <v>93.2</v>
      </c>
    </row>
    <row r="8" spans="1:35" x14ac:dyDescent="0.35">
      <c r="A8" t="s">
        <v>150</v>
      </c>
      <c r="B8" s="1">
        <v>36.9</v>
      </c>
      <c r="C8" s="15">
        <v>21</v>
      </c>
      <c r="D8" s="15">
        <v>16</v>
      </c>
      <c r="E8" s="15">
        <v>7</v>
      </c>
      <c r="F8" s="17">
        <f t="shared" si="0"/>
        <v>71.833333333333329</v>
      </c>
      <c r="H8">
        <v>22</v>
      </c>
      <c r="I8" s="9">
        <v>16051</v>
      </c>
      <c r="J8" s="10">
        <v>0.55300000000000005</v>
      </c>
      <c r="K8" s="9">
        <v>6391</v>
      </c>
      <c r="L8" s="11">
        <v>55039</v>
      </c>
      <c r="M8" s="9">
        <v>7735</v>
      </c>
      <c r="N8" s="10">
        <v>0.20300000000000001</v>
      </c>
      <c r="O8" s="10">
        <v>0.15</v>
      </c>
      <c r="P8">
        <v>36.9</v>
      </c>
      <c r="Q8" s="10">
        <v>0.16200000000000001</v>
      </c>
      <c r="R8" s="10">
        <v>6.5000000000000002E-2</v>
      </c>
      <c r="S8" s="11">
        <v>55039</v>
      </c>
      <c r="T8" s="10">
        <v>0.189</v>
      </c>
      <c r="U8" s="10">
        <v>0.71899999999999997</v>
      </c>
      <c r="V8" s="10">
        <v>0.17399999999999999</v>
      </c>
      <c r="W8" s="10">
        <v>0.52400000000000002</v>
      </c>
      <c r="X8" s="10">
        <v>0.19700000000000001</v>
      </c>
      <c r="Y8" s="10">
        <v>0.21299999999999999</v>
      </c>
      <c r="Z8" s="10">
        <v>4.7E-2</v>
      </c>
      <c r="AA8" s="10">
        <v>0.14599999999999999</v>
      </c>
      <c r="AB8" s="10">
        <v>0.129</v>
      </c>
      <c r="AC8" s="10">
        <v>8.5000000000000006E-2</v>
      </c>
      <c r="AD8" s="10">
        <v>0.115</v>
      </c>
      <c r="AE8" s="10">
        <v>8.5000000000000006E-2</v>
      </c>
      <c r="AF8" s="10">
        <v>5.0999999999999997E-2</v>
      </c>
      <c r="AG8" s="10">
        <v>8.9999999999999993E-3</v>
      </c>
      <c r="AI8" s="14">
        <v>92.4</v>
      </c>
    </row>
    <row r="9" spans="1:35" x14ac:dyDescent="0.35">
      <c r="A9" t="s">
        <v>97</v>
      </c>
      <c r="B9" s="1">
        <v>35.200000000000003</v>
      </c>
      <c r="C9" s="15">
        <v>25</v>
      </c>
      <c r="D9" s="15">
        <v>14</v>
      </c>
      <c r="E9" s="15">
        <v>7</v>
      </c>
      <c r="F9" s="17">
        <f t="shared" si="0"/>
        <v>70.666666666666671</v>
      </c>
      <c r="H9">
        <v>606.4</v>
      </c>
      <c r="I9" s="9">
        <v>681054</v>
      </c>
      <c r="J9" s="10">
        <v>0.64</v>
      </c>
      <c r="K9" s="9">
        <v>290311</v>
      </c>
      <c r="L9" s="11">
        <v>70040</v>
      </c>
      <c r="M9" s="9">
        <v>314255</v>
      </c>
      <c r="N9" s="10">
        <v>0.36799999999999999</v>
      </c>
      <c r="O9" s="10">
        <v>0.124</v>
      </c>
      <c r="P9">
        <v>35.200000000000003</v>
      </c>
      <c r="Q9" s="10">
        <v>0.14000000000000001</v>
      </c>
      <c r="R9" s="10">
        <v>6.8000000000000005E-2</v>
      </c>
      <c r="S9" s="11">
        <v>70040</v>
      </c>
      <c r="T9" s="10">
        <v>0.153</v>
      </c>
      <c r="U9" s="10">
        <v>0.69899999999999995</v>
      </c>
      <c r="V9" s="10">
        <v>7.5999999999999998E-2</v>
      </c>
      <c r="W9" s="10">
        <v>0.56999999999999995</v>
      </c>
      <c r="X9" s="10">
        <v>0.152</v>
      </c>
      <c r="Y9" s="10">
        <v>0.245</v>
      </c>
      <c r="Z9" s="10">
        <v>7.5999999999999998E-2</v>
      </c>
      <c r="AA9" s="10">
        <v>0.13600000000000001</v>
      </c>
      <c r="AB9" s="10">
        <v>0.11700000000000001</v>
      </c>
      <c r="AC9" s="10">
        <v>8.7999999999999995E-2</v>
      </c>
      <c r="AD9" s="10">
        <v>7.1999999999999995E-2</v>
      </c>
      <c r="AE9" s="10">
        <v>7.1999999999999995E-2</v>
      </c>
      <c r="AF9" s="10">
        <v>7.4999999999999997E-2</v>
      </c>
      <c r="AG9" s="10">
        <v>6.0000000000000001E-3</v>
      </c>
      <c r="AI9" s="14">
        <v>84.1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B4B45-E401-45BE-9030-EC78611A3CD1}">
  <dimension ref="A1:AT9"/>
  <sheetViews>
    <sheetView workbookViewId="0">
      <selection activeCell="P3" sqref="P3"/>
    </sheetView>
  </sheetViews>
  <sheetFormatPr defaultRowHeight="14.5" x14ac:dyDescent="0.35"/>
  <cols>
    <col min="1" max="1" width="11.6328125" bestFit="1" customWidth="1"/>
    <col min="2" max="2" width="22.36328125" style="16" bestFit="1" customWidth="1"/>
    <col min="3" max="3" width="10.81640625" style="12" bestFit="1" customWidth="1"/>
    <col min="4" max="4" width="8.7265625" style="12"/>
    <col min="5" max="12" width="8.7265625" style="10" customWidth="1"/>
    <col min="13" max="15" width="8.7265625" style="10"/>
    <col min="16" max="16" width="16.1796875" style="15" customWidth="1"/>
    <col min="17" max="18" width="8.7265625" style="10"/>
    <col min="19" max="19" width="7.6328125" customWidth="1"/>
    <col min="20" max="20" width="9.453125" bestFit="1" customWidth="1"/>
    <col min="21" max="21" width="10.81640625" style="10" bestFit="1" customWidth="1"/>
    <col min="22" max="22" width="10.36328125" bestFit="1" customWidth="1"/>
    <col min="23" max="23" width="22.36328125" style="11" bestFit="1" customWidth="1"/>
    <col min="24" max="24" width="12" bestFit="1" customWidth="1"/>
    <col min="25" max="25" width="6.90625" style="10" bestFit="1" customWidth="1"/>
    <col min="26" max="26" width="18.36328125" style="10" bestFit="1" customWidth="1"/>
    <col min="27" max="27" width="10.08984375" bestFit="1" customWidth="1"/>
    <col min="28" max="28" width="11" style="10" bestFit="1" customWidth="1"/>
    <col min="29" max="29" width="8.7265625" style="10"/>
    <col min="30" max="30" width="13.1796875" style="11" bestFit="1" customWidth="1"/>
    <col min="31" max="34" width="8.7265625" style="10"/>
    <col min="35" max="35" width="17.08984375" style="10" bestFit="1" customWidth="1"/>
    <col min="36" max="41" width="8.7265625" style="10"/>
    <col min="42" max="42" width="10.36328125" style="10" customWidth="1"/>
    <col min="43" max="43" width="11.36328125" style="10" bestFit="1" customWidth="1"/>
    <col min="44" max="44" width="9.6328125" style="10" bestFit="1" customWidth="1"/>
    <col min="46" max="46" width="8.7265625" style="14"/>
  </cols>
  <sheetData>
    <row r="1" spans="1:46" x14ac:dyDescent="0.35">
      <c r="A1" t="s">
        <v>142</v>
      </c>
      <c r="B1" s="16" t="s">
        <v>153</v>
      </c>
      <c r="C1" s="12" t="s">
        <v>152</v>
      </c>
      <c r="D1" s="12" t="s">
        <v>159</v>
      </c>
      <c r="E1" s="10" t="s">
        <v>179</v>
      </c>
      <c r="F1" s="10" t="s">
        <v>144</v>
      </c>
      <c r="G1" s="10" t="s">
        <v>148</v>
      </c>
      <c r="I1" s="10" t="s">
        <v>179</v>
      </c>
      <c r="J1" s="10" t="s">
        <v>144</v>
      </c>
      <c r="K1" s="10" t="s">
        <v>148</v>
      </c>
      <c r="M1" s="10" t="s">
        <v>179</v>
      </c>
      <c r="N1" s="10" t="s">
        <v>144</v>
      </c>
      <c r="O1" s="10" t="s">
        <v>148</v>
      </c>
      <c r="P1" s="15" t="s">
        <v>174</v>
      </c>
      <c r="S1" t="s">
        <v>151</v>
      </c>
      <c r="T1" t="s">
        <v>143</v>
      </c>
      <c r="U1" s="10" t="s">
        <v>152</v>
      </c>
      <c r="V1" t="s">
        <v>145</v>
      </c>
      <c r="W1" s="11" t="s">
        <v>153</v>
      </c>
      <c r="X1" t="s">
        <v>146</v>
      </c>
      <c r="Y1" s="10" t="s">
        <v>154</v>
      </c>
      <c r="Z1" s="10" t="s">
        <v>155</v>
      </c>
      <c r="AA1" t="s">
        <v>147</v>
      </c>
      <c r="AB1" s="10" t="s">
        <v>156</v>
      </c>
      <c r="AC1" s="10" t="s">
        <v>157</v>
      </c>
      <c r="AD1" s="11" t="s">
        <v>158</v>
      </c>
      <c r="AE1" s="10" t="s">
        <v>159</v>
      </c>
      <c r="AF1" s="10" t="s">
        <v>160</v>
      </c>
      <c r="AG1" s="10" t="s">
        <v>161</v>
      </c>
      <c r="AH1" s="10" t="s">
        <v>162</v>
      </c>
      <c r="AI1" s="10" t="s">
        <v>163</v>
      </c>
      <c r="AJ1" s="10" t="s">
        <v>164</v>
      </c>
      <c r="AK1" s="10" t="s">
        <v>165</v>
      </c>
      <c r="AL1" s="10" t="s">
        <v>166</v>
      </c>
      <c r="AM1" s="10" t="s">
        <v>168</v>
      </c>
      <c r="AN1" s="10" t="s">
        <v>167</v>
      </c>
      <c r="AO1" s="10" t="s">
        <v>169</v>
      </c>
      <c r="AP1" s="10" t="s">
        <v>170</v>
      </c>
      <c r="AQ1" s="10" t="s">
        <v>171</v>
      </c>
      <c r="AR1" s="10" t="s">
        <v>172</v>
      </c>
      <c r="AT1" s="13" t="s">
        <v>173</v>
      </c>
    </row>
    <row r="2" spans="1:46" x14ac:dyDescent="0.35">
      <c r="A2" t="s">
        <v>99</v>
      </c>
      <c r="B2" s="16">
        <v>55550</v>
      </c>
      <c r="C2" s="12">
        <v>0.54600000000000004</v>
      </c>
      <c r="D2" s="12">
        <v>0.17299999999999999</v>
      </c>
      <c r="E2">
        <f t="shared" ref="E2:E9" si="0" xml:space="preserve"> (B2 - MIN($B$2:$B$100)) / (MAX($B$2:$B$100) - MIN($B$2:$B$100))</f>
        <v>0.20594037702761947</v>
      </c>
      <c r="F2">
        <f t="shared" ref="F2:F9" si="1" xml:space="preserve"> (C2/100 - MIN($C$2:$C$100)/100) / ((MAX($C$2:$C$100)/100) - (MIN($C$2:$C$100)/100))</f>
        <v>0.45029239766081897</v>
      </c>
      <c r="G2">
        <f t="shared" ref="G2:G9" si="2" xml:space="preserve"> 1 - ((D2/100 - MIN($D$2:$D$100)/100) / ((MAX($D$2:$D$100)/100) - (MIN($D$2:$D$100)/100)))</f>
        <v>0.47692307692307723</v>
      </c>
      <c r="I2">
        <f>_xlfn.RANK.EQ(B2,$B$2:$B$101,0)</f>
        <v>4</v>
      </c>
      <c r="J2">
        <f>_xlfn.RANK.EQ(C2,$C$2:$C$101,0)</f>
        <v>5</v>
      </c>
      <c r="K2">
        <f>_xlfn.RANK.EQ(D2,$D$2:$D$101,1)</f>
        <v>5</v>
      </c>
      <c r="L2"/>
      <c r="M2">
        <f>(_xlfn.RANK.EQ(B2,$B$2:$B$9,0)-1)/(COUNTA($B$2:$B$101)-1)*100</f>
        <v>42.857142857142854</v>
      </c>
      <c r="N2">
        <f>(_xlfn.RANK.EQ(C2,$C$2:$C$9,0)-1)/(COUNTA($C$2:$C$101)-1)*100</f>
        <v>57.142857142857139</v>
      </c>
      <c r="O2">
        <f>(_xlfn.RANK.EQ(D2,$D$2:$D$9,1)-1)/(COUNTA($D$2:$D$9)-1)*100</f>
        <v>57.142857142857139</v>
      </c>
      <c r="P2" s="1">
        <f>(0.4*M2)+(0.4*N2)+(0.2*O2)</f>
        <v>51.428571428571431</v>
      </c>
      <c r="Q2"/>
      <c r="S2">
        <v>18.399999999999999</v>
      </c>
      <c r="T2" s="9">
        <v>18729</v>
      </c>
      <c r="U2" s="10">
        <v>0.54600000000000004</v>
      </c>
      <c r="V2" s="9">
        <v>7371</v>
      </c>
      <c r="W2" s="11">
        <v>55550</v>
      </c>
      <c r="X2" s="9">
        <v>9021</v>
      </c>
      <c r="Y2" s="10">
        <v>0.23499999999999999</v>
      </c>
      <c r="Z2" s="10">
        <v>0.154</v>
      </c>
      <c r="AA2">
        <v>33.5</v>
      </c>
      <c r="AB2" s="10">
        <v>0.16900000000000001</v>
      </c>
      <c r="AC2" s="10">
        <v>0.13300000000000001</v>
      </c>
      <c r="AD2" s="11">
        <v>55550</v>
      </c>
      <c r="AE2" s="10">
        <v>0.17299999999999999</v>
      </c>
      <c r="AF2" s="10">
        <v>0.71599999999999997</v>
      </c>
      <c r="AG2" s="10">
        <v>0.182</v>
      </c>
      <c r="AH2" s="10">
        <v>0.55900000000000005</v>
      </c>
      <c r="AI2" s="10">
        <v>0.155</v>
      </c>
      <c r="AJ2" s="10">
        <v>0.253</v>
      </c>
      <c r="AK2" s="10">
        <v>0.14499999999999999</v>
      </c>
      <c r="AL2" s="10">
        <v>0.13600000000000001</v>
      </c>
      <c r="AM2" s="10">
        <v>0.13100000000000001</v>
      </c>
      <c r="AN2" s="10">
        <v>0.10199999999999999</v>
      </c>
      <c r="AO2" s="10">
        <v>8.5000000000000006E-2</v>
      </c>
      <c r="AP2" s="10">
        <v>7.1999999999999995E-2</v>
      </c>
      <c r="AQ2" s="10">
        <v>7.0000000000000007E-2</v>
      </c>
      <c r="AR2" s="10">
        <v>3.9E-2</v>
      </c>
      <c r="AT2" s="13">
        <v>96.7</v>
      </c>
    </row>
    <row r="3" spans="1:46" x14ac:dyDescent="0.35">
      <c r="A3" t="s">
        <v>98</v>
      </c>
      <c r="B3" s="16">
        <v>57020</v>
      </c>
      <c r="C3" s="12">
        <v>0.51500000000000001</v>
      </c>
      <c r="D3" s="12">
        <v>0.20399999999999999</v>
      </c>
      <c r="E3">
        <f t="shared" si="0"/>
        <v>0.28649715037264356</v>
      </c>
      <c r="F3">
        <f t="shared" si="1"/>
        <v>0.26900584795321647</v>
      </c>
      <c r="G3">
        <f t="shared" si="2"/>
        <v>0</v>
      </c>
      <c r="I3">
        <f t="shared" ref="I3:I9" si="3">_xlfn.RANK.EQ(B3,$B$2:$B$101,0)</f>
        <v>3</v>
      </c>
      <c r="J3">
        <f t="shared" ref="J3:J9" si="4">_xlfn.RANK.EQ(C3,$C$2:$C$101,0)</f>
        <v>7</v>
      </c>
      <c r="K3">
        <f t="shared" ref="K3:K9" si="5">_xlfn.RANK.EQ(D3,$D$2:$D$101,1)</f>
        <v>8</v>
      </c>
      <c r="L3"/>
      <c r="M3">
        <f t="shared" ref="M3:M9" si="6" xml:space="preserve"> (_xlfn.RANK.EQ(B3,$B$2:$B$101,0)-1) / (COUNTA($B$2:$B$101)-1) * 100</f>
        <v>28.571428571428569</v>
      </c>
      <c r="N3">
        <f t="shared" ref="N3:N9" si="7" xml:space="preserve"> (_xlfn.RANK.EQ(C3,$C$2:$C$101,0)-1) / (COUNTA($C$2:$C$101)-1) * 100</f>
        <v>85.714285714285708</v>
      </c>
      <c r="O3">
        <f t="shared" ref="O3:O9" si="8" xml:space="preserve"> (_xlfn.RANK.EQ(D3,$D$2:$D$101,1)-1) / (COUNTA($D$2:$D$101)-1) * 100</f>
        <v>100</v>
      </c>
      <c r="P3" s="1">
        <f t="shared" ref="P3:P9" si="9">(0.4*M3)+(0.4*N3)+(0.2*O3)</f>
        <v>65.714285714285722</v>
      </c>
      <c r="Q3"/>
      <c r="S3">
        <v>42.9</v>
      </c>
      <c r="T3" s="9">
        <v>22692</v>
      </c>
      <c r="U3" s="10">
        <v>0.51500000000000001</v>
      </c>
      <c r="V3" s="9">
        <v>9333</v>
      </c>
      <c r="W3" s="11">
        <v>57020</v>
      </c>
      <c r="X3" s="9">
        <v>11089</v>
      </c>
      <c r="Y3" s="10">
        <v>0.19500000000000001</v>
      </c>
      <c r="Z3" s="10">
        <v>0.156</v>
      </c>
      <c r="AA3">
        <v>40</v>
      </c>
      <c r="AB3" s="10">
        <v>0.20499999999999999</v>
      </c>
      <c r="AC3" s="10">
        <v>9.2999999999999999E-2</v>
      </c>
      <c r="AD3" s="11">
        <v>57020</v>
      </c>
      <c r="AE3" s="10">
        <v>0.20399999999999999</v>
      </c>
      <c r="AF3" s="10">
        <v>0.80100000000000005</v>
      </c>
      <c r="AG3" s="10">
        <v>0.158</v>
      </c>
      <c r="AH3" s="10">
        <v>0.67800000000000005</v>
      </c>
      <c r="AI3" s="10">
        <v>0.20499999999999999</v>
      </c>
      <c r="AJ3" s="10">
        <v>0.224</v>
      </c>
      <c r="AK3" s="10">
        <v>4.2999999999999997E-2</v>
      </c>
      <c r="AL3" s="10">
        <v>0.13200000000000001</v>
      </c>
      <c r="AM3" s="10">
        <v>0.13</v>
      </c>
      <c r="AN3" s="10">
        <v>7.2999999999999995E-2</v>
      </c>
      <c r="AO3" s="10">
        <v>9.4E-2</v>
      </c>
      <c r="AP3" s="10">
        <v>5.8999999999999997E-2</v>
      </c>
      <c r="AQ3" s="10">
        <v>6.5000000000000002E-2</v>
      </c>
      <c r="AR3" s="10">
        <v>6.0000000000000001E-3</v>
      </c>
      <c r="AT3" s="14">
        <v>92.1</v>
      </c>
    </row>
    <row r="4" spans="1:46" x14ac:dyDescent="0.35">
      <c r="A4" t="s">
        <v>96</v>
      </c>
      <c r="B4" s="16">
        <v>52954</v>
      </c>
      <c r="C4" s="12">
        <v>0.56799999999999995</v>
      </c>
      <c r="D4" s="12">
        <v>0.16700000000000001</v>
      </c>
      <c r="E4">
        <f t="shared" si="0"/>
        <v>6.3678211310828584E-2</v>
      </c>
      <c r="F4">
        <f t="shared" si="1"/>
        <v>0.57894736842105221</v>
      </c>
      <c r="G4">
        <f t="shared" si="2"/>
        <v>0.56923076923076921</v>
      </c>
      <c r="I4">
        <f t="shared" si="3"/>
        <v>7</v>
      </c>
      <c r="J4">
        <f t="shared" si="4"/>
        <v>3</v>
      </c>
      <c r="K4">
        <f t="shared" si="5"/>
        <v>4</v>
      </c>
      <c r="L4"/>
      <c r="M4">
        <f t="shared" si="6"/>
        <v>85.714285714285708</v>
      </c>
      <c r="N4">
        <f t="shared" si="7"/>
        <v>28.571428571428569</v>
      </c>
      <c r="O4">
        <f t="shared" si="8"/>
        <v>42.857142857142854</v>
      </c>
      <c r="P4" s="1">
        <f t="shared" si="9"/>
        <v>54.285714285714285</v>
      </c>
      <c r="Q4"/>
      <c r="S4">
        <v>49.9</v>
      </c>
      <c r="T4" s="9">
        <v>24725</v>
      </c>
      <c r="U4" s="10">
        <v>0.56799999999999995</v>
      </c>
      <c r="V4" s="9">
        <v>9787</v>
      </c>
      <c r="W4" s="11">
        <v>52954</v>
      </c>
      <c r="X4" s="9">
        <v>11384</v>
      </c>
      <c r="Y4" s="10">
        <v>0.222</v>
      </c>
      <c r="Z4" s="10">
        <v>0.14099999999999999</v>
      </c>
      <c r="AA4">
        <v>36.700000000000003</v>
      </c>
      <c r="AB4" s="10">
        <v>0.16300000000000001</v>
      </c>
      <c r="AC4" s="10">
        <v>7.1999999999999995E-2</v>
      </c>
      <c r="AD4" s="11">
        <v>52954</v>
      </c>
      <c r="AE4" s="10">
        <v>0.16700000000000001</v>
      </c>
      <c r="AF4" s="10">
        <v>0.79500000000000004</v>
      </c>
      <c r="AG4" s="10">
        <v>0.14000000000000001</v>
      </c>
      <c r="AH4" s="10">
        <v>0.56399999999999995</v>
      </c>
      <c r="AI4" s="10">
        <v>0.219</v>
      </c>
      <c r="AJ4" s="10">
        <v>0.251</v>
      </c>
      <c r="AK4" s="10">
        <v>3.7999999999999999E-2</v>
      </c>
      <c r="AL4" s="10">
        <v>0.14599999999999999</v>
      </c>
      <c r="AM4" s="10">
        <v>0.127</v>
      </c>
      <c r="AN4" s="10">
        <v>6.9000000000000006E-2</v>
      </c>
      <c r="AO4" s="10">
        <v>0.13900000000000001</v>
      </c>
      <c r="AP4" s="10">
        <v>7.0999999999999994E-2</v>
      </c>
      <c r="AQ4" s="10">
        <v>6.8000000000000005E-2</v>
      </c>
      <c r="AR4" s="10">
        <v>1.2999999999999999E-2</v>
      </c>
      <c r="AT4" s="14">
        <v>92.7</v>
      </c>
    </row>
    <row r="5" spans="1:46" x14ac:dyDescent="0.35">
      <c r="A5" t="s">
        <v>94</v>
      </c>
      <c r="B5" s="16">
        <v>55506</v>
      </c>
      <c r="C5" s="12">
        <v>0.46899999999999997</v>
      </c>
      <c r="D5" s="12">
        <v>0.19800000000000001</v>
      </c>
      <c r="E5">
        <f t="shared" si="0"/>
        <v>0.20352915387987724</v>
      </c>
      <c r="F5">
        <f t="shared" si="1"/>
        <v>0</v>
      </c>
      <c r="G5">
        <f t="shared" si="2"/>
        <v>9.230769230769198E-2</v>
      </c>
      <c r="I5">
        <f t="shared" si="3"/>
        <v>5</v>
      </c>
      <c r="J5">
        <f t="shared" si="4"/>
        <v>8</v>
      </c>
      <c r="K5">
        <f t="shared" si="5"/>
        <v>7</v>
      </c>
      <c r="L5"/>
      <c r="M5">
        <f t="shared" si="6"/>
        <v>57.142857142857139</v>
      </c>
      <c r="N5">
        <f t="shared" si="7"/>
        <v>100</v>
      </c>
      <c r="O5">
        <f t="shared" si="8"/>
        <v>85.714285714285708</v>
      </c>
      <c r="P5" s="1">
        <f t="shared" si="9"/>
        <v>80</v>
      </c>
      <c r="Q5"/>
      <c r="S5">
        <v>81.400000000000006</v>
      </c>
      <c r="T5" s="9">
        <v>90381</v>
      </c>
      <c r="U5" s="10">
        <v>0.46899999999999997</v>
      </c>
      <c r="V5" s="9">
        <v>33438</v>
      </c>
      <c r="W5" s="11">
        <v>55506</v>
      </c>
      <c r="X5" s="9">
        <v>39738</v>
      </c>
      <c r="Y5" s="10">
        <v>0.2</v>
      </c>
      <c r="Z5" s="10">
        <v>0.111</v>
      </c>
      <c r="AA5">
        <v>34.200000000000003</v>
      </c>
      <c r="AB5" s="10">
        <v>0.123</v>
      </c>
      <c r="AC5" s="10">
        <v>0.17100000000000001</v>
      </c>
      <c r="AD5" s="11">
        <v>55506</v>
      </c>
      <c r="AE5" s="10">
        <v>0.19800000000000001</v>
      </c>
      <c r="AF5" s="10">
        <v>0.73499999999999999</v>
      </c>
      <c r="AG5" s="10">
        <v>0.159</v>
      </c>
      <c r="AH5" s="10">
        <v>0.47899999999999998</v>
      </c>
      <c r="AI5" s="10">
        <v>0.253</v>
      </c>
      <c r="AJ5" s="10">
        <v>0.23100000000000001</v>
      </c>
      <c r="AK5" s="10">
        <v>0.11</v>
      </c>
      <c r="AL5" s="10">
        <v>0.13700000000000001</v>
      </c>
      <c r="AM5" s="10">
        <v>0.13400000000000001</v>
      </c>
      <c r="AN5" s="10">
        <v>9.6000000000000002E-2</v>
      </c>
      <c r="AO5" s="10">
        <v>8.6999999999999994E-2</v>
      </c>
      <c r="AP5" s="10">
        <v>8.3000000000000004E-2</v>
      </c>
      <c r="AQ5" s="10">
        <v>6.0999999999999999E-2</v>
      </c>
      <c r="AR5" s="10">
        <v>0.01</v>
      </c>
      <c r="AT5" s="14">
        <v>84.7</v>
      </c>
    </row>
    <row r="6" spans="1:46" x14ac:dyDescent="0.35">
      <c r="A6" t="s">
        <v>119</v>
      </c>
      <c r="B6" s="16">
        <v>63835</v>
      </c>
      <c r="C6" s="12">
        <v>0.54100000000000004</v>
      </c>
      <c r="D6" s="12">
        <v>0.13900000000000001</v>
      </c>
      <c r="E6">
        <f t="shared" si="0"/>
        <v>0.65996273564226215</v>
      </c>
      <c r="F6">
        <f t="shared" si="1"/>
        <v>0.42105263157894784</v>
      </c>
      <c r="G6">
        <f t="shared" si="2"/>
        <v>1</v>
      </c>
      <c r="I6">
        <f t="shared" si="3"/>
        <v>2</v>
      </c>
      <c r="J6">
        <f t="shared" si="4"/>
        <v>6</v>
      </c>
      <c r="K6">
        <f t="shared" si="5"/>
        <v>1</v>
      </c>
      <c r="L6"/>
      <c r="M6">
        <f t="shared" si="6"/>
        <v>14.285714285714285</v>
      </c>
      <c r="N6">
        <f t="shared" si="7"/>
        <v>71.428571428571431</v>
      </c>
      <c r="O6">
        <f t="shared" si="8"/>
        <v>0</v>
      </c>
      <c r="P6" s="1">
        <f t="shared" si="9"/>
        <v>34.285714285714285</v>
      </c>
      <c r="Q6"/>
      <c r="S6">
        <v>72</v>
      </c>
      <c r="T6" s="9">
        <v>102316</v>
      </c>
      <c r="U6" s="10">
        <v>0.54100000000000004</v>
      </c>
      <c r="V6" s="9">
        <v>38289</v>
      </c>
      <c r="W6" s="11">
        <v>63835</v>
      </c>
      <c r="X6" s="9">
        <v>43762</v>
      </c>
      <c r="Y6" s="10">
        <v>0.26900000000000002</v>
      </c>
      <c r="Z6" s="10">
        <v>0.16600000000000001</v>
      </c>
      <c r="AA6">
        <v>35.299999999999997</v>
      </c>
      <c r="AB6" s="10">
        <v>0.16</v>
      </c>
      <c r="AC6" s="10">
        <v>8.5000000000000006E-2</v>
      </c>
      <c r="AD6" s="11">
        <v>63835</v>
      </c>
      <c r="AE6" s="10">
        <v>0.13900000000000001</v>
      </c>
      <c r="AF6" s="10">
        <v>0.60699999999999998</v>
      </c>
      <c r="AG6" s="10">
        <v>0.125</v>
      </c>
      <c r="AH6" s="10">
        <v>0.56499999999999995</v>
      </c>
      <c r="AI6" s="10">
        <v>0.16300000000000001</v>
      </c>
      <c r="AJ6" s="10">
        <v>0.21099999999999999</v>
      </c>
      <c r="AK6" s="10">
        <v>6.3E-2</v>
      </c>
      <c r="AL6" s="10">
        <v>0.17599999999999999</v>
      </c>
      <c r="AM6" s="10">
        <v>0.13200000000000001</v>
      </c>
      <c r="AN6" s="10">
        <v>9.1999999999999998E-2</v>
      </c>
      <c r="AO6" s="10">
        <v>7.2999999999999995E-2</v>
      </c>
      <c r="AP6" s="10">
        <v>0.111</v>
      </c>
      <c r="AQ6" s="10">
        <v>5.5E-2</v>
      </c>
      <c r="AR6" s="10">
        <v>4.0000000000000001E-3</v>
      </c>
      <c r="AT6" s="14">
        <v>81.5</v>
      </c>
    </row>
    <row r="7" spans="1:46" x14ac:dyDescent="0.35">
      <c r="A7" t="s">
        <v>149</v>
      </c>
      <c r="B7" s="16">
        <v>51792</v>
      </c>
      <c r="C7" s="12">
        <v>0.60199999999999998</v>
      </c>
      <c r="D7" s="12">
        <v>0.161</v>
      </c>
      <c r="E7">
        <f t="shared" si="0"/>
        <v>0</v>
      </c>
      <c r="F7">
        <f t="shared" si="1"/>
        <v>0.77777777777777779</v>
      </c>
      <c r="G7">
        <f t="shared" si="2"/>
        <v>0.66153846153846141</v>
      </c>
      <c r="I7">
        <f t="shared" si="3"/>
        <v>8</v>
      </c>
      <c r="J7">
        <f t="shared" si="4"/>
        <v>2</v>
      </c>
      <c r="K7">
        <f t="shared" si="5"/>
        <v>3</v>
      </c>
      <c r="L7"/>
      <c r="M7">
        <f t="shared" si="6"/>
        <v>100</v>
      </c>
      <c r="N7">
        <f t="shared" si="7"/>
        <v>14.285714285714285</v>
      </c>
      <c r="O7">
        <f t="shared" si="8"/>
        <v>28.571428571428569</v>
      </c>
      <c r="P7" s="1">
        <f t="shared" si="9"/>
        <v>51.428571428571431</v>
      </c>
      <c r="Q7"/>
      <c r="S7">
        <v>19.7</v>
      </c>
      <c r="T7" s="9">
        <v>16481</v>
      </c>
      <c r="U7" s="10">
        <v>0.60199999999999998</v>
      </c>
      <c r="V7" s="9">
        <v>6688</v>
      </c>
      <c r="W7" s="11">
        <v>51792</v>
      </c>
      <c r="X7" s="9">
        <v>8043</v>
      </c>
      <c r="Y7" s="10">
        <v>0.30299999999999999</v>
      </c>
      <c r="Z7" s="10">
        <v>0.19900000000000001</v>
      </c>
      <c r="AA7">
        <v>32.700000000000003</v>
      </c>
      <c r="AB7" s="10">
        <v>0.14399999999999999</v>
      </c>
      <c r="AC7" s="10">
        <v>6.8000000000000005E-2</v>
      </c>
      <c r="AD7" s="11">
        <v>51792</v>
      </c>
      <c r="AE7" s="10">
        <v>0.161</v>
      </c>
      <c r="AF7" s="10">
        <v>0.64200000000000002</v>
      </c>
      <c r="AG7" s="10">
        <v>0.16900000000000001</v>
      </c>
      <c r="AH7" s="10">
        <v>0.45</v>
      </c>
      <c r="AI7" s="10">
        <v>0.14899999999999999</v>
      </c>
      <c r="AJ7" s="10">
        <v>0.251</v>
      </c>
      <c r="AK7" s="10">
        <v>9.2999999999999999E-2</v>
      </c>
      <c r="AL7" s="10">
        <v>0.16600000000000001</v>
      </c>
      <c r="AM7" s="10">
        <v>0.11700000000000001</v>
      </c>
      <c r="AN7" s="10">
        <v>0.115</v>
      </c>
      <c r="AO7" s="10">
        <v>7.4999999999999997E-2</v>
      </c>
      <c r="AP7" s="10">
        <v>5.1999999999999998E-2</v>
      </c>
      <c r="AQ7" s="10">
        <v>6.0999999999999999E-2</v>
      </c>
      <c r="AR7" s="10">
        <v>1.4E-2</v>
      </c>
      <c r="AT7" s="14">
        <v>93.2</v>
      </c>
    </row>
    <row r="8" spans="1:46" x14ac:dyDescent="0.35">
      <c r="A8" t="s">
        <v>150</v>
      </c>
      <c r="B8" s="16">
        <v>55039</v>
      </c>
      <c r="C8" s="12">
        <v>0.55300000000000005</v>
      </c>
      <c r="D8" s="12">
        <v>0.189</v>
      </c>
      <c r="E8">
        <f t="shared" si="0"/>
        <v>0.1779373081981587</v>
      </c>
      <c r="F8">
        <f t="shared" si="1"/>
        <v>0.49122807017543868</v>
      </c>
      <c r="G8">
        <f t="shared" si="2"/>
        <v>0.2307692307692305</v>
      </c>
      <c r="I8">
        <f t="shared" si="3"/>
        <v>6</v>
      </c>
      <c r="J8">
        <f t="shared" si="4"/>
        <v>4</v>
      </c>
      <c r="K8">
        <f t="shared" si="5"/>
        <v>6</v>
      </c>
      <c r="L8"/>
      <c r="M8">
        <f t="shared" si="6"/>
        <v>71.428571428571431</v>
      </c>
      <c r="N8">
        <f t="shared" si="7"/>
        <v>42.857142857142854</v>
      </c>
      <c r="O8">
        <f t="shared" si="8"/>
        <v>71.428571428571431</v>
      </c>
      <c r="P8" s="1">
        <f t="shared" si="9"/>
        <v>60</v>
      </c>
      <c r="Q8"/>
      <c r="S8">
        <v>22</v>
      </c>
      <c r="T8" s="9">
        <v>16051</v>
      </c>
      <c r="U8" s="10">
        <v>0.55300000000000005</v>
      </c>
      <c r="V8" s="9">
        <v>6391</v>
      </c>
      <c r="W8" s="11">
        <v>55039</v>
      </c>
      <c r="X8" s="9">
        <v>7735</v>
      </c>
      <c r="Y8" s="10">
        <v>0.20300000000000001</v>
      </c>
      <c r="Z8" s="10">
        <v>0.15</v>
      </c>
      <c r="AA8">
        <v>36.9</v>
      </c>
      <c r="AB8" s="10">
        <v>0.16200000000000001</v>
      </c>
      <c r="AC8" s="10">
        <v>6.5000000000000002E-2</v>
      </c>
      <c r="AD8" s="11">
        <v>55039</v>
      </c>
      <c r="AE8" s="10">
        <v>0.189</v>
      </c>
      <c r="AF8" s="10">
        <v>0.71899999999999997</v>
      </c>
      <c r="AG8" s="10">
        <v>0.17399999999999999</v>
      </c>
      <c r="AH8" s="10">
        <v>0.52400000000000002</v>
      </c>
      <c r="AI8" s="10">
        <v>0.19700000000000001</v>
      </c>
      <c r="AJ8" s="10">
        <v>0.21299999999999999</v>
      </c>
      <c r="AK8" s="10">
        <v>4.7E-2</v>
      </c>
      <c r="AL8" s="10">
        <v>0.14599999999999999</v>
      </c>
      <c r="AM8" s="10">
        <v>0.129</v>
      </c>
      <c r="AN8" s="10">
        <v>8.5000000000000006E-2</v>
      </c>
      <c r="AO8" s="10">
        <v>0.115</v>
      </c>
      <c r="AP8" s="10">
        <v>8.5000000000000006E-2</v>
      </c>
      <c r="AQ8" s="10">
        <v>5.0999999999999997E-2</v>
      </c>
      <c r="AR8" s="10">
        <v>8.9999999999999993E-3</v>
      </c>
      <c r="AT8" s="14">
        <v>92.4</v>
      </c>
    </row>
    <row r="9" spans="1:46" x14ac:dyDescent="0.35">
      <c r="A9" t="s">
        <v>97</v>
      </c>
      <c r="B9" s="16">
        <v>70040</v>
      </c>
      <c r="C9" s="12">
        <v>0.64</v>
      </c>
      <c r="D9" s="12">
        <v>0.153</v>
      </c>
      <c r="E9">
        <f t="shared" si="0"/>
        <v>1</v>
      </c>
      <c r="F9">
        <f t="shared" si="1"/>
        <v>1</v>
      </c>
      <c r="G9">
        <f t="shared" si="2"/>
        <v>0.78461538461538494</v>
      </c>
      <c r="I9">
        <f t="shared" si="3"/>
        <v>1</v>
      </c>
      <c r="J9">
        <f t="shared" si="4"/>
        <v>1</v>
      </c>
      <c r="K9">
        <f t="shared" si="5"/>
        <v>2</v>
      </c>
      <c r="L9"/>
      <c r="M9">
        <f t="shared" si="6"/>
        <v>0</v>
      </c>
      <c r="N9">
        <f t="shared" si="7"/>
        <v>0</v>
      </c>
      <c r="O9">
        <f t="shared" si="8"/>
        <v>14.285714285714285</v>
      </c>
      <c r="P9" s="1">
        <f t="shared" si="9"/>
        <v>2.8571428571428572</v>
      </c>
      <c r="Q9"/>
      <c r="S9">
        <v>606.4</v>
      </c>
      <c r="T9" s="9">
        <v>681054</v>
      </c>
      <c r="U9" s="10">
        <v>0.64</v>
      </c>
      <c r="V9" s="9">
        <v>290311</v>
      </c>
      <c r="W9" s="11">
        <v>70040</v>
      </c>
      <c r="X9" s="9">
        <v>314255</v>
      </c>
      <c r="Y9" s="10">
        <v>0.36799999999999999</v>
      </c>
      <c r="Z9" s="10">
        <v>0.124</v>
      </c>
      <c r="AA9">
        <v>35.200000000000003</v>
      </c>
      <c r="AB9" s="10">
        <v>0.14000000000000001</v>
      </c>
      <c r="AC9" s="10">
        <v>6.8000000000000005E-2</v>
      </c>
      <c r="AD9" s="11">
        <v>70040</v>
      </c>
      <c r="AE9" s="10">
        <v>0.153</v>
      </c>
      <c r="AF9" s="10">
        <v>0.69899999999999995</v>
      </c>
      <c r="AG9" s="10">
        <v>7.5999999999999998E-2</v>
      </c>
      <c r="AH9" s="10">
        <v>0.56999999999999995</v>
      </c>
      <c r="AI9" s="10">
        <v>0.152</v>
      </c>
      <c r="AJ9" s="10">
        <v>0.245</v>
      </c>
      <c r="AK9" s="10">
        <v>7.5999999999999998E-2</v>
      </c>
      <c r="AL9" s="10">
        <v>0.13600000000000001</v>
      </c>
      <c r="AM9" s="10">
        <v>0.11700000000000001</v>
      </c>
      <c r="AN9" s="10">
        <v>8.7999999999999995E-2</v>
      </c>
      <c r="AO9" s="10">
        <v>7.1999999999999995E-2</v>
      </c>
      <c r="AP9" s="10">
        <v>7.1999999999999995E-2</v>
      </c>
      <c r="AQ9" s="10">
        <v>7.4999999999999997E-2</v>
      </c>
      <c r="AR9" s="10">
        <v>6.0000000000000001E-3</v>
      </c>
      <c r="AT9" s="14">
        <v>84.1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737C4-D239-438F-AACB-039C377ED507}">
  <dimension ref="A1:S9"/>
  <sheetViews>
    <sheetView zoomScale="70" zoomScaleNormal="70" workbookViewId="0">
      <selection activeCell="L3" sqref="L3"/>
    </sheetView>
  </sheetViews>
  <sheetFormatPr defaultRowHeight="14.5" x14ac:dyDescent="0.35"/>
  <cols>
    <col min="1" max="1" width="11.6328125" bestFit="1" customWidth="1"/>
    <col min="2" max="2" width="9.453125" bestFit="1" customWidth="1"/>
    <col min="3" max="3" width="12.7265625" bestFit="1" customWidth="1"/>
    <col min="4" max="11" width="11" customWidth="1"/>
    <col min="12" max="12" width="10.7265625" style="1" customWidth="1"/>
    <col min="13" max="13" width="8.7265625" style="1"/>
    <col min="14" max="14" width="8.7265625" style="14"/>
  </cols>
  <sheetData>
    <row r="1" spans="1:19" x14ac:dyDescent="0.35">
      <c r="A1" t="s">
        <v>142</v>
      </c>
      <c r="B1" t="s">
        <v>143</v>
      </c>
      <c r="C1" s="10" t="s">
        <v>152</v>
      </c>
      <c r="D1" s="10" t="s">
        <v>165</v>
      </c>
      <c r="E1" s="10" t="s">
        <v>166</v>
      </c>
      <c r="F1" s="10" t="s">
        <v>168</v>
      </c>
      <c r="G1" s="10" t="s">
        <v>167</v>
      </c>
      <c r="H1" s="10" t="s">
        <v>169</v>
      </c>
      <c r="I1" s="10" t="s">
        <v>170</v>
      </c>
      <c r="J1" s="10" t="s">
        <v>171</v>
      </c>
      <c r="K1" s="10" t="s">
        <v>172</v>
      </c>
      <c r="L1" s="15"/>
      <c r="N1" s="13" t="s">
        <v>173</v>
      </c>
      <c r="Q1" t="s">
        <v>175</v>
      </c>
      <c r="R1" t="s">
        <v>176</v>
      </c>
      <c r="S1" t="s">
        <v>177</v>
      </c>
    </row>
    <row r="2" spans="1:19" x14ac:dyDescent="0.35">
      <c r="A2" t="s">
        <v>99</v>
      </c>
      <c r="B2" s="9">
        <v>18729</v>
      </c>
      <c r="C2" s="10">
        <v>0.54600000000000004</v>
      </c>
      <c r="D2" s="10">
        <v>0.14499999999999999</v>
      </c>
      <c r="E2" s="10">
        <v>0.13600000000000001</v>
      </c>
      <c r="F2" s="10">
        <v>0.13100000000000001</v>
      </c>
      <c r="G2" s="10">
        <v>0.10199999999999999</v>
      </c>
      <c r="H2" s="10">
        <v>8.5000000000000006E-2</v>
      </c>
      <c r="I2" s="10">
        <v>7.1999999999999995E-2</v>
      </c>
      <c r="J2" s="10">
        <v>7.0000000000000007E-2</v>
      </c>
      <c r="K2" s="10">
        <v>3.9E-2</v>
      </c>
      <c r="L2" s="15" cm="1">
        <f t="array" ref="L2">_xlfn.LET( _xlpm.popRange,$B$2:$B$9, _xlpm.empRateRange,$C$2:$C$9, _xlpm.sectorRange,D2:K2, _xlpm.sectorPct, _xlpm.sectorRange/100, _xlpm.sectorSum, SUM(_xlpm.sectorPct), _xlpm.shares, IF(_xlpm.sectorSum&gt;0, _xlpm.sectorPct/_xlpm.sectorSum, _xlpm.sectorPct), _xlpm.entropy, -SUM(IF(_xlpm.shares&gt;0, _xlpm.shares * LN(_xlpm.shares), 0)), _xlpm.N, COLUMNS(_xlpm.sectorRange), _xlpm.entropy_norm, IF(_xlpm.N&gt;1, _xlpm.entropy / LN(_xlpm.N), 0), _xlpm.empRate_cur, C2/100, _xlpm.empRate_vec, _xlpm.empRateRange/100, _xlpm.empRate_norm, IF(MAX(_xlpm.empRate_vec)-MIN(_xlpm.empRate_vec)&gt;0, (_xlpm.empRate_cur - MIN(_xlpm.empRate_vec)) / (MAX(_xlpm.empRate_vec)-MIN(_xlpm.empRate_vec)), 0), _xlpm.empPop_cur, B2 * _xlpm.empRate_cur, _xlpm.empPop_vec, _xlpm.popRange * _xlpm.empRate_vec, _xlpm.lnEmp_vec, LN(_xlpm.empPop_vec + 1), _xlpm.lnEmp_cur, LN(_xlpm.empPop_cur + 1), _xlpm.empPop_norm, IF(MAX(_xlpm.lnEmp_vec)-MIN(_xlpm.lnEmp_vec)&gt;0, (_xlpm.lnEmp_cur - MIN(_xlpm.lnEmp_vec)) / (MAX(_xlpm.lnEmp_vec)-MIN(_xlpm.lnEmp_vec)), 0), _xlpm.w_entropy, 0.6, _xlpm.w_empRate, 0.25, _xlpm.w_empPop, 0.15, _xlpm.score01, _xlpm.w_entropy * _xlpm.entropy_norm + _xlpm.w_empRate * _xlpm.empRate_norm + _xlpm.w_empPop * _xlpm.empPop_norm, ROUND(_xlpm.score01 * 100, 1))</f>
        <v>69.8</v>
      </c>
      <c r="M2" s="1" cm="1">
        <f t="array" ref="M2">_xlfn.LET( _xlpm.sRange,D2:K2, _xlpm.sPct, _xlpm.sRange/100, _xlpm.sSum, SUM(_xlpm.sPct),_xlpm.s, IF(_xlpm.sSum&gt;0, _xlpm.sPct / _xlpm.sSum, _xlpm.sPct),_xlpm.ent, -SUM( IF(_xlpm.s&gt;0, _xlpm.s * LN(_xlpm.s), 0) ),_xlpm.N, COLUMNS(_xlpm.sRange),_xlpm.ent_norm, IF(_xlpm.N&gt;1, _xlpm.ent / LN(_xlpm.N), 0), ROUND(_xlpm.ent_norm * 100, 2))</f>
        <v>96.69</v>
      </c>
      <c r="N2" s="13">
        <v>96.7</v>
      </c>
      <c r="Q2">
        <v>8</v>
      </c>
      <c r="R2">
        <v>6</v>
      </c>
      <c r="S2">
        <v>4</v>
      </c>
    </row>
    <row r="3" spans="1:19" x14ac:dyDescent="0.35">
      <c r="A3" t="s">
        <v>98</v>
      </c>
      <c r="B3" s="9">
        <v>22692</v>
      </c>
      <c r="C3" s="10">
        <v>0.51500000000000001</v>
      </c>
      <c r="D3" s="10">
        <v>4.2999999999999997E-2</v>
      </c>
      <c r="E3" s="10">
        <v>0.13200000000000001</v>
      </c>
      <c r="F3" s="10">
        <v>0.13</v>
      </c>
      <c r="G3" s="10">
        <v>7.2999999999999995E-2</v>
      </c>
      <c r="H3" s="10">
        <v>9.4E-2</v>
      </c>
      <c r="I3" s="10">
        <v>5.8999999999999997E-2</v>
      </c>
      <c r="J3" s="10">
        <v>6.5000000000000002E-2</v>
      </c>
      <c r="K3" s="10">
        <v>6.0000000000000001E-3</v>
      </c>
      <c r="L3" s="15" cm="1">
        <f t="array" ref="L3">_xlfn.LET( _xlpm.popRange,$B$2:$B$9, _xlpm.empRateRange,$C$2:$C$9, _xlpm.sectorRange,D3:K3, _xlpm.sectorPct, _xlpm.sectorRange/100, _xlpm.sectorSum, SUM(_xlpm.sectorPct), _xlpm.shares, IF(_xlpm.sectorSum&gt;0, _xlpm.sectorPct/_xlpm.sectorSum, _xlpm.sectorPct), _xlpm.entropy, -SUM(IF(_xlpm.shares&gt;0, _xlpm.shares * LN(_xlpm.shares), 0)), _xlpm.N, COLUMNS(_xlpm.sectorRange), _xlpm.entropy_norm, IF(_xlpm.N&gt;1, _xlpm.entropy / LN(_xlpm.N), 0), _xlpm.empRate_cur, C3/100, _xlpm.empRate_vec, _xlpm.empRateRange/100, _xlpm.empRate_norm, IF(MAX(_xlpm.empRate_vec)-MIN(_xlpm.empRate_vec)&gt;0, (_xlpm.empRate_cur - MIN(_xlpm.empRate_vec)) / (MAX(_xlpm.empRate_vec)-MIN(_xlpm.empRate_vec)), 0), _xlpm.empPop_cur, B3 * _xlpm.empRate_cur, _xlpm.empPop_vec, _xlpm.popRange * _xlpm.empRate_vec, _xlpm.lnEmp_vec, LN(_xlpm.empPop_vec + 1), _xlpm.lnEmp_cur, LN(_xlpm.empPop_cur + 1), _xlpm.empPop_norm, IF(MAX(_xlpm.lnEmp_vec)-MIN(_xlpm.lnEmp_vec)&gt;0, (_xlpm.lnEmp_cur - MIN(_xlpm.lnEmp_vec)) / (MAX(_xlpm.lnEmp_vec)-MIN(_xlpm.lnEmp_vec)), 0), _xlpm.w_entropy, 0.6, _xlpm.w_empRate, 0.25, _xlpm.w_empPop, 0.15, _xlpm.score01, _xlpm.w_entropy * _xlpm.entropy_norm + _xlpm.w_empRate * _xlpm.empRate_norm + _xlpm.w_empPop * _xlpm.empPop_norm, ROUND(_xlpm.score01 * 100, 1))</f>
        <v>62.9</v>
      </c>
      <c r="M3" s="1" cm="1">
        <f t="array" ref="M3">_xlfn.LET( _xlpm.sRange,D3:K3, _xlpm.sPct, _xlpm.sRange/100, _xlpm.sSum, SUM(_xlpm.sPct),_xlpm.s, IF(_xlpm.sSum&gt;0, _xlpm.sPct / _xlpm.sSum, _xlpm.sPct),_xlpm.ent, -SUM( IF(_xlpm.s&gt;0, _xlpm.s * LN(_xlpm.s), 0) ),_xlpm.N, COLUMNS(_xlpm.sRange),_xlpm.ent_norm, IF(_xlpm.N&gt;1, _xlpm.ent / LN(_xlpm.N), 0), ROUND(_xlpm.ent_norm * 100, 2))</f>
        <v>91.94</v>
      </c>
      <c r="N3" s="14">
        <v>92.1</v>
      </c>
      <c r="Q3">
        <v>5</v>
      </c>
      <c r="R3">
        <v>5</v>
      </c>
      <c r="S3">
        <v>2</v>
      </c>
    </row>
    <row r="4" spans="1:19" x14ac:dyDescent="0.35">
      <c r="A4" t="s">
        <v>96</v>
      </c>
      <c r="B4" s="9">
        <v>24725</v>
      </c>
      <c r="C4" s="10">
        <v>0.56799999999999995</v>
      </c>
      <c r="D4" s="10">
        <v>3.7999999999999999E-2</v>
      </c>
      <c r="E4" s="10">
        <v>0.14599999999999999</v>
      </c>
      <c r="F4" s="10">
        <v>0.127</v>
      </c>
      <c r="G4" s="10">
        <v>6.9000000000000006E-2</v>
      </c>
      <c r="H4" s="10">
        <v>0.13900000000000001</v>
      </c>
      <c r="I4" s="10">
        <v>7.0999999999999994E-2</v>
      </c>
      <c r="J4" s="10">
        <v>6.8000000000000005E-2</v>
      </c>
      <c r="K4" s="10">
        <v>1.2999999999999999E-2</v>
      </c>
      <c r="L4" s="15" cm="1">
        <f t="array" ref="L4">_xlfn.LET( _xlpm.popRange,$B$2:$B$9, _xlpm.empRateRange,$C$2:$C$9, _xlpm.sectorRange,D4:K4, _xlpm.sectorPct, _xlpm.sectorRange/100, _xlpm.sectorSum, SUM(_xlpm.sectorPct), _xlpm.shares, IF(_xlpm.sectorSum&gt;0, _xlpm.sectorPct/_xlpm.sectorSum, _xlpm.sectorPct), _xlpm.entropy, -SUM(IF(_xlpm.shares&gt;0, _xlpm.shares * LN(_xlpm.shares), 0)), _xlpm.N, COLUMNS(_xlpm.sectorRange), _xlpm.entropy_norm, IF(_xlpm.N&gt;1, _xlpm.entropy / LN(_xlpm.N), 0), _xlpm.empRate_cur, C4/100, _xlpm.empRate_vec, _xlpm.empRateRange/100, _xlpm.empRate_norm, IF(MAX(_xlpm.empRate_vec)-MIN(_xlpm.empRate_vec)&gt;0, (_xlpm.empRate_cur - MIN(_xlpm.empRate_vec)) / (MAX(_xlpm.empRate_vec)-MIN(_xlpm.empRate_vec)), 0), _xlpm.empPop_cur, B4 * _xlpm.empRate_cur, _xlpm.empPop_vec, _xlpm.popRange * _xlpm.empRate_vec, _xlpm.lnEmp_vec, LN(_xlpm.empPop_vec + 1), _xlpm.lnEmp_cur, LN(_xlpm.empPop_cur + 1), _xlpm.empPop_norm, IF(MAX(_xlpm.lnEmp_vec)-MIN(_xlpm.lnEmp_vec)&gt;0, (_xlpm.lnEmp_cur - MIN(_xlpm.lnEmp_vec)) / (MAX(_xlpm.lnEmp_vec)-MIN(_xlpm.lnEmp_vec)), 0), _xlpm.w_entropy, 0.6, _xlpm.w_empRate, 0.25, _xlpm.w_empPop, 0.15, _xlpm.score01, _xlpm.w_entropy * _xlpm.entropy_norm + _xlpm.w_empRate * _xlpm.empRate_norm + _xlpm.w_empPop * _xlpm.empPop_norm, ROUND(_xlpm.score01 * 100, 1))</f>
        <v>71.5</v>
      </c>
      <c r="M4" s="1" cm="1">
        <f t="array" ref="M4">_xlfn.LET( _xlpm.sRange,D4:K4, _xlpm.sPct, _xlpm.sRange/100, _xlpm.sSum, SUM(_xlpm.sPct),_xlpm.s, IF(_xlpm.sSum&gt;0, _xlpm.sPct / _xlpm.sSum, _xlpm.sPct),_xlpm.ent, -SUM( IF(_xlpm.s&gt;0, _xlpm.s * LN(_xlpm.s), 0) ),_xlpm.N, COLUMNS(_xlpm.sRange),_xlpm.ent_norm, IF(_xlpm.N&gt;1, _xlpm.ent / LN(_xlpm.N), 0), ROUND(_xlpm.ent_norm * 100, 2))</f>
        <v>92.12</v>
      </c>
      <c r="N4" s="14">
        <v>92.7</v>
      </c>
      <c r="Q4">
        <v>4</v>
      </c>
      <c r="R4">
        <v>4</v>
      </c>
      <c r="S4">
        <v>6</v>
      </c>
    </row>
    <row r="5" spans="1:19" x14ac:dyDescent="0.35">
      <c r="A5" t="s">
        <v>94</v>
      </c>
      <c r="B5" s="9">
        <v>90381</v>
      </c>
      <c r="C5" s="10">
        <v>0.46899999999999997</v>
      </c>
      <c r="D5" s="10">
        <v>0.11</v>
      </c>
      <c r="E5" s="10">
        <v>0.13700000000000001</v>
      </c>
      <c r="F5" s="10">
        <v>0.13400000000000001</v>
      </c>
      <c r="G5" s="10">
        <v>9.6000000000000002E-2</v>
      </c>
      <c r="H5" s="10">
        <v>8.6999999999999994E-2</v>
      </c>
      <c r="I5" s="10">
        <v>8.3000000000000004E-2</v>
      </c>
      <c r="J5" s="10">
        <v>6.0999999999999999E-2</v>
      </c>
      <c r="K5" s="10">
        <v>0.01</v>
      </c>
      <c r="L5" s="15" cm="1">
        <f t="array" ref="L5">_xlfn.LET( _xlpm.popRange,$B$2:$B$9, _xlpm.empRateRange,$C$2:$C$9, _xlpm.sectorRange,D5:K5, _xlpm.sectorPct, _xlpm.sectorRange/100, _xlpm.sectorSum, SUM(_xlpm.sectorPct), _xlpm.shares, IF(_xlpm.sectorSum&gt;0, _xlpm.sectorPct/_xlpm.sectorSum, _xlpm.sectorPct), _xlpm.entropy, -SUM(IF(_xlpm.shares&gt;0, _xlpm.shares * LN(_xlpm.shares), 0)), _xlpm.N, COLUMNS(_xlpm.sectorRange), _xlpm.entropy_norm, IF(_xlpm.N&gt;1, _xlpm.entropy / LN(_xlpm.N), 0), _xlpm.empRate_cur, C5/100, _xlpm.empRate_vec, _xlpm.empRateRange/100, _xlpm.empRate_norm, IF(MAX(_xlpm.empRate_vec)-MIN(_xlpm.empRate_vec)&gt;0, (_xlpm.empRate_cur - MIN(_xlpm.empRate_vec)) / (MAX(_xlpm.empRate_vec)-MIN(_xlpm.empRate_vec)), 0), _xlpm.empPop_cur, B5 * _xlpm.empRate_cur, _xlpm.empPop_vec, _xlpm.popRange * _xlpm.empRate_vec, _xlpm.lnEmp_vec, LN(_xlpm.empPop_vec + 1), _xlpm.lnEmp_cur, LN(_xlpm.empPop_cur + 1), _xlpm.empPop_norm, IF(MAX(_xlpm.lnEmp_vec)-MIN(_xlpm.lnEmp_vec)&gt;0, (_xlpm.lnEmp_cur - MIN(_xlpm.lnEmp_vec)) / (MAX(_xlpm.lnEmp_vec)-MIN(_xlpm.lnEmp_vec)), 0), _xlpm.w_entropy, 0.6, _xlpm.w_empRate, 0.25, _xlpm.w_empPop, 0.15, _xlpm.score01, _xlpm.w_entropy * _xlpm.entropy_norm + _xlpm.w_empRate * _xlpm.empRate_norm + _xlpm.w_empPop * _xlpm.empPop_norm, ROUND(_xlpm.score01 * 100, 1))</f>
        <v>62.6</v>
      </c>
      <c r="M5" s="1" cm="1">
        <f t="array" ref="M5">_xlfn.LET( _xlpm.sRange,D5:K5, _xlpm.sPct, _xlpm.sRange/100, _xlpm.sSum, SUM(_xlpm.sPct),_xlpm.s, IF(_xlpm.sSum&gt;0, _xlpm.sPct / _xlpm.sSum, _xlpm.sPct),_xlpm.ent, -SUM( IF(_xlpm.s&gt;0, _xlpm.s * LN(_xlpm.s), 0) ),_xlpm.N, COLUMNS(_xlpm.sRange),_xlpm.ent_norm, IF(_xlpm.N&gt;1, _xlpm.ent / LN(_xlpm.N), 0), ROUND(_xlpm.ent_norm * 100, 2))</f>
        <v>94.25</v>
      </c>
      <c r="N5" s="14">
        <v>84.7</v>
      </c>
      <c r="Q5">
        <v>2</v>
      </c>
      <c r="R5">
        <v>3</v>
      </c>
      <c r="S5">
        <v>1</v>
      </c>
    </row>
    <row r="6" spans="1:19" x14ac:dyDescent="0.35">
      <c r="A6" t="s">
        <v>119</v>
      </c>
      <c r="B6" s="9">
        <v>102316</v>
      </c>
      <c r="C6" s="10">
        <v>0.54100000000000004</v>
      </c>
      <c r="D6" s="10">
        <v>6.3E-2</v>
      </c>
      <c r="E6" s="10">
        <v>0.17599999999999999</v>
      </c>
      <c r="F6" s="10">
        <v>0.13200000000000001</v>
      </c>
      <c r="G6" s="10">
        <v>9.1999999999999998E-2</v>
      </c>
      <c r="H6" s="10">
        <v>7.2999999999999995E-2</v>
      </c>
      <c r="I6" s="10">
        <v>0.111</v>
      </c>
      <c r="J6" s="10">
        <v>5.5E-2</v>
      </c>
      <c r="K6" s="10">
        <v>4.0000000000000001E-3</v>
      </c>
      <c r="L6" s="15" cm="1">
        <f t="array" ref="L6">_xlfn.LET( _xlpm.popRange,$B$2:$B$9, _xlpm.empRateRange,$C$2:$C$9, _xlpm.sectorRange,D6:K6, _xlpm.sectorPct, _xlpm.sectorRange/100, _xlpm.sectorSum, SUM(_xlpm.sectorPct), _xlpm.shares, IF(_xlpm.sectorSum&gt;0, _xlpm.sectorPct/_xlpm.sectorSum, _xlpm.sectorPct), _xlpm.entropy, -SUM(IF(_xlpm.shares&gt;0, _xlpm.shares * LN(_xlpm.shares), 0)), _xlpm.N, COLUMNS(_xlpm.sectorRange), _xlpm.entropy_norm, IF(_xlpm.N&gt;1, _xlpm.entropy / LN(_xlpm.N), 0), _xlpm.empRate_cur, C6/100, _xlpm.empRate_vec, _xlpm.empRateRange/100, _xlpm.empRate_norm, IF(MAX(_xlpm.empRate_vec)-MIN(_xlpm.empRate_vec)&gt;0, (_xlpm.empRate_cur - MIN(_xlpm.empRate_vec)) / (MAX(_xlpm.empRate_vec)-MIN(_xlpm.empRate_vec)), 0), _xlpm.empPop_cur, B6 * _xlpm.empRate_cur, _xlpm.empPop_vec, _xlpm.popRange * _xlpm.empRate_vec, _xlpm.lnEmp_vec, LN(_xlpm.empPop_vec + 1), _xlpm.lnEmp_cur, LN(_xlpm.empPop_cur + 1), _xlpm.empPop_norm, IF(MAX(_xlpm.lnEmp_vec)-MIN(_xlpm.lnEmp_vec)&gt;0, (_xlpm.lnEmp_cur - MIN(_xlpm.lnEmp_vec)) / (MAX(_xlpm.lnEmp_vec)-MIN(_xlpm.lnEmp_vec)), 0), _xlpm.w_entropy, 0.6, _xlpm.w_empRate, 0.25, _xlpm.w_empPop, 0.15, _xlpm.score01, _xlpm.w_entropy * _xlpm.entropy_norm + _xlpm.w_empRate * _xlpm.empRate_norm + _xlpm.w_empPop * _xlpm.empPop_norm, ROUND(_xlpm.score01 * 100, 1))</f>
        <v>72.2</v>
      </c>
      <c r="M6" s="1" cm="1">
        <f t="array" ref="M6">_xlfn.LET( _xlpm.sRange,D6:K6, _xlpm.sPct, _xlpm.sRange/100, _xlpm.sSum, SUM(_xlpm.sPct),_xlpm.s, IF(_xlpm.sSum&gt;0, _xlpm.sPct / _xlpm.sSum, _xlpm.sPct),_xlpm.ent, -SUM( IF(_xlpm.s&gt;0, _xlpm.s * LN(_xlpm.s), 0) ),_xlpm.N, COLUMNS(_xlpm.sRange),_xlpm.ent_norm, IF(_xlpm.N&gt;1, _xlpm.ent / LN(_xlpm.N), 0), ROUND(_xlpm.ent_norm * 100, 2))</f>
        <v>91.11</v>
      </c>
      <c r="N6" s="14">
        <v>81.5</v>
      </c>
      <c r="Q6">
        <v>3</v>
      </c>
      <c r="R6">
        <v>2</v>
      </c>
      <c r="S6">
        <v>3</v>
      </c>
    </row>
    <row r="7" spans="1:19" x14ac:dyDescent="0.35">
      <c r="A7" t="s">
        <v>149</v>
      </c>
      <c r="B7" s="9">
        <v>16481</v>
      </c>
      <c r="C7" s="10">
        <v>0.60199999999999998</v>
      </c>
      <c r="D7" s="10">
        <v>9.2999999999999999E-2</v>
      </c>
      <c r="E7" s="10">
        <v>0.16600000000000001</v>
      </c>
      <c r="F7" s="10">
        <v>0.11700000000000001</v>
      </c>
      <c r="G7" s="10">
        <v>0.115</v>
      </c>
      <c r="H7" s="10">
        <v>7.4999999999999997E-2</v>
      </c>
      <c r="I7" s="10">
        <v>5.1999999999999998E-2</v>
      </c>
      <c r="J7" s="10">
        <v>6.0999999999999999E-2</v>
      </c>
      <c r="K7" s="10">
        <v>1.4E-2</v>
      </c>
      <c r="L7" s="15" cm="1">
        <f t="array" ref="L7">_xlfn.LET( _xlpm.popRange,$B$2:$B$9, _xlpm.empRateRange,$C$2:$C$9, _xlpm.sectorRange,D7:K7, _xlpm.sectorPct, _xlpm.sectorRange/100, _xlpm.sectorSum, SUM(_xlpm.sectorPct), _xlpm.shares, IF(_xlpm.sectorSum&gt;0, _xlpm.sectorPct/_xlpm.sectorSum, _xlpm.sectorPct), _xlpm.entropy, -SUM(IF(_xlpm.shares&gt;0, _xlpm.shares * LN(_xlpm.shares), 0)), _xlpm.N, COLUMNS(_xlpm.sectorRange), _xlpm.entropy_norm, IF(_xlpm.N&gt;1, _xlpm.entropy / LN(_xlpm.N), 0), _xlpm.empRate_cur, C7/100, _xlpm.empRate_vec, _xlpm.empRateRange/100, _xlpm.empRate_norm, IF(MAX(_xlpm.empRate_vec)-MIN(_xlpm.empRate_vec)&gt;0, (_xlpm.empRate_cur - MIN(_xlpm.empRate_vec)) / (MAX(_xlpm.empRate_vec)-MIN(_xlpm.empRate_vec)), 0), _xlpm.empPop_cur, B7 * _xlpm.empRate_cur, _xlpm.empPop_vec, _xlpm.popRange * _xlpm.empRate_vec, _xlpm.lnEmp_vec, LN(_xlpm.empPop_vec + 1), _xlpm.lnEmp_cur, LN(_xlpm.empPop_cur + 1), _xlpm.empPop_norm, IF(MAX(_xlpm.lnEmp_vec)-MIN(_xlpm.lnEmp_vec)&gt;0, (_xlpm.lnEmp_cur - MIN(_xlpm.lnEmp_vec)) / (MAX(_xlpm.lnEmp_vec)-MIN(_xlpm.lnEmp_vec)), 0), _xlpm.w_entropy, 0.6, _xlpm.w_empRate, 0.25, _xlpm.w_empPop, 0.15, _xlpm.score01, _xlpm.w_entropy * _xlpm.entropy_norm + _xlpm.w_empRate * _xlpm.empRate_norm + _xlpm.w_empPop * _xlpm.empPop_norm, ROUND(_xlpm.score01 * 100, 1))</f>
        <v>75.8</v>
      </c>
      <c r="M7" s="1" cm="1">
        <f t="array" ref="M7">_xlfn.LET( _xlpm.sRange,D7:K7, _xlpm.sPct, _xlpm.sRange/100, _xlpm.sSum, SUM(_xlpm.sPct),_xlpm.s, IF(_xlpm.sSum&gt;0, _xlpm.sPct / _xlpm.sSum, _xlpm.sPct),_xlpm.ent, -SUM( IF(_xlpm.s&gt;0, _xlpm.s * LN(_xlpm.s), 0) ),_xlpm.N, COLUMNS(_xlpm.sRange),_xlpm.ent_norm, IF(_xlpm.N&gt;1, _xlpm.ent / LN(_xlpm.N), 0), ROUND(_xlpm.ent_norm * 100, 2))</f>
        <v>93.19</v>
      </c>
      <c r="N7" s="14">
        <v>93.2</v>
      </c>
      <c r="Q7">
        <v>7</v>
      </c>
      <c r="R7">
        <v>7</v>
      </c>
      <c r="S7">
        <v>7</v>
      </c>
    </row>
    <row r="8" spans="1:19" x14ac:dyDescent="0.35">
      <c r="A8" t="s">
        <v>150</v>
      </c>
      <c r="B8" s="9">
        <v>16051</v>
      </c>
      <c r="C8" s="10">
        <v>0.55300000000000005</v>
      </c>
      <c r="D8" s="10">
        <v>4.7E-2</v>
      </c>
      <c r="E8" s="10">
        <v>0.14599999999999999</v>
      </c>
      <c r="F8" s="10">
        <v>0.129</v>
      </c>
      <c r="G8" s="10">
        <v>8.5000000000000006E-2</v>
      </c>
      <c r="H8" s="10">
        <v>0.115</v>
      </c>
      <c r="I8" s="10">
        <v>8.5000000000000006E-2</v>
      </c>
      <c r="J8" s="10">
        <v>5.0999999999999997E-2</v>
      </c>
      <c r="K8" s="10">
        <v>8.9999999999999993E-3</v>
      </c>
      <c r="L8" s="15" cm="1">
        <f t="array" ref="L8">_xlfn.LET( _xlpm.popRange,$B$2:$B$9, _xlpm.empRateRange,$C$2:$C$9, _xlpm.sectorRange,D8:K8, _xlpm.sectorPct, _xlpm.sectorRange/100, _xlpm.sectorSum, SUM(_xlpm.sectorPct), _xlpm.shares, IF(_xlpm.sectorSum&gt;0, _xlpm.sectorPct/_xlpm.sectorSum, _xlpm.sectorPct), _xlpm.entropy, -SUM(IF(_xlpm.shares&gt;0, _xlpm.shares * LN(_xlpm.shares), 0)), _xlpm.N, COLUMNS(_xlpm.sectorRange), _xlpm.entropy_norm, IF(_xlpm.N&gt;1, _xlpm.entropy / LN(_xlpm.N), 0), _xlpm.empRate_cur, C8/100, _xlpm.empRate_vec, _xlpm.empRateRange/100, _xlpm.empRate_norm, IF(MAX(_xlpm.empRate_vec)-MIN(_xlpm.empRate_vec)&gt;0, (_xlpm.empRate_cur - MIN(_xlpm.empRate_vec)) / (MAX(_xlpm.empRate_vec)-MIN(_xlpm.empRate_vec)), 0), _xlpm.empPop_cur, B8 * _xlpm.empRate_cur, _xlpm.empPop_vec, _xlpm.popRange * _xlpm.empRate_vec, _xlpm.lnEmp_vec, LN(_xlpm.empPop_vec + 1), _xlpm.lnEmp_cur, LN(_xlpm.empPop_cur + 1), _xlpm.empPop_norm, IF(MAX(_xlpm.lnEmp_vec)-MIN(_xlpm.lnEmp_vec)&gt;0, (_xlpm.lnEmp_cur - MIN(_xlpm.lnEmp_vec)) / (MAX(_xlpm.lnEmp_vec)-MIN(_xlpm.lnEmp_vec)), 0), _xlpm.w_entropy, 0.6, _xlpm.w_empRate, 0.25, _xlpm.w_empPop, 0.15, _xlpm.score01, _xlpm.w_entropy * _xlpm.entropy_norm + _xlpm.w_empRate * _xlpm.empRate_norm + _xlpm.w_empPop * _xlpm.empPop_norm, ROUND(_xlpm.score01 * 100, 1))</f>
        <v>67.7</v>
      </c>
      <c r="M8" s="1" cm="1">
        <f t="array" ref="M8">_xlfn.LET( _xlpm.sRange,D8:K8, _xlpm.sPct, _xlpm.sRange/100, _xlpm.sSum, SUM(_xlpm.sPct),_xlpm.s, IF(_xlpm.sSum&gt;0, _xlpm.sPct / _xlpm.sSum, _xlpm.sPct),_xlpm.ent, -SUM( IF(_xlpm.s&gt;0, _xlpm.s * LN(_xlpm.s), 0) ),_xlpm.N, COLUMNS(_xlpm.sRange),_xlpm.ent_norm, IF(_xlpm.N&gt;1, _xlpm.ent / LN(_xlpm.N), 0), ROUND(_xlpm.ent_norm * 100, 2))</f>
        <v>92.33</v>
      </c>
      <c r="N8" s="14">
        <v>92.4</v>
      </c>
      <c r="Q8">
        <v>6</v>
      </c>
      <c r="R8">
        <v>8</v>
      </c>
      <c r="S8">
        <v>5</v>
      </c>
    </row>
    <row r="9" spans="1:19" x14ac:dyDescent="0.35">
      <c r="A9" t="s">
        <v>97</v>
      </c>
      <c r="B9" s="9">
        <v>681054</v>
      </c>
      <c r="C9" s="10">
        <v>0.64</v>
      </c>
      <c r="D9" s="10">
        <v>7.5999999999999998E-2</v>
      </c>
      <c r="E9" s="10">
        <v>0.13600000000000001</v>
      </c>
      <c r="F9" s="10">
        <v>0.11700000000000001</v>
      </c>
      <c r="G9" s="10">
        <v>8.7999999999999995E-2</v>
      </c>
      <c r="H9" s="10">
        <v>7.1999999999999995E-2</v>
      </c>
      <c r="I9" s="10">
        <v>7.1999999999999995E-2</v>
      </c>
      <c r="J9" s="10">
        <v>7.4999999999999997E-2</v>
      </c>
      <c r="K9" s="10">
        <v>6.0000000000000001E-3</v>
      </c>
      <c r="L9" s="15" cm="1">
        <f t="array" ref="L9">_xlfn.LET( _xlpm.popRange,$B$2:$B$9, _xlpm.empRateRange,$C$2:$C$9, _xlpm.sectorRange,D9:K9, _xlpm.sectorPct, _xlpm.sectorRange/100, _xlpm.sectorSum, SUM(_xlpm.sectorPct), _xlpm.shares, IF(_xlpm.sectorSum&gt;0, _xlpm.sectorPct/_xlpm.sectorSum, _xlpm.sectorPct), _xlpm.entropy, -SUM(IF(_xlpm.shares&gt;0, _xlpm.shares * LN(_xlpm.shares), 0)), _xlpm.N, COLUMNS(_xlpm.sectorRange), _xlpm.entropy_norm, IF(_xlpm.N&gt;1, _xlpm.entropy / LN(_xlpm.N), 0), _xlpm.empRate_cur, C9/100, _xlpm.empRate_vec, _xlpm.empRateRange/100, _xlpm.empRate_norm, IF(MAX(_xlpm.empRate_vec)-MIN(_xlpm.empRate_vec)&gt;0, (_xlpm.empRate_cur - MIN(_xlpm.empRate_vec)) / (MAX(_xlpm.empRate_vec)-MIN(_xlpm.empRate_vec)), 0), _xlpm.empPop_cur, B9 * _xlpm.empRate_cur, _xlpm.empPop_vec, _xlpm.popRange * _xlpm.empRate_vec, _xlpm.lnEmp_vec, LN(_xlpm.empPop_vec + 1), _xlpm.lnEmp_cur, LN(_xlpm.empPop_cur + 1), _xlpm.empPop_norm, IF(MAX(_xlpm.lnEmp_vec)-MIN(_xlpm.lnEmp_vec)&gt;0, (_xlpm.lnEmp_cur - MIN(_xlpm.lnEmp_vec)) / (MAX(_xlpm.lnEmp_vec)-MIN(_xlpm.lnEmp_vec)), 0), _xlpm.w_entropy, 0.6, _xlpm.w_empRate, 0.25, _xlpm.w_empPop, 0.15, _xlpm.score01, _xlpm.w_entropy * _xlpm.entropy_norm + _xlpm.w_empRate * _xlpm.empRate_norm + _xlpm.w_empPop * _xlpm.empPop_norm, ROUND(_xlpm.score01 * 100, 1))</f>
        <v>96.2</v>
      </c>
      <c r="M9" s="1" cm="1">
        <f t="array" ref="M9">_xlfn.LET( _xlpm.sRange,D9:K9, _xlpm.sPct, _xlpm.sRange/100, _xlpm.sSum, SUM(_xlpm.sPct),_xlpm.s, IF(_xlpm.sSum&gt;0, _xlpm.sPct / _xlpm.sSum, _xlpm.sPct),_xlpm.ent, -SUM( IF(_xlpm.s&gt;0, _xlpm.s * LN(_xlpm.s), 0) ),_xlpm.N, COLUMNS(_xlpm.sRange),_xlpm.ent_norm, IF(_xlpm.N&gt;1, _xlpm.ent / LN(_xlpm.N), 0), ROUND(_xlpm.ent_norm * 100, 2))</f>
        <v>93.74</v>
      </c>
      <c r="N9" s="14">
        <v>84.1</v>
      </c>
      <c r="Q9">
        <v>1</v>
      </c>
      <c r="R9">
        <v>1</v>
      </c>
      <c r="S9">
        <v>8</v>
      </c>
    </row>
  </sheetData>
  <pageMargins left="0.7" right="0.7" top="0.75" bottom="0.75" header="0.3" footer="0.3"/>
  <ignoredErrors>
    <ignoredError sqref="M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Sheet4</vt:lpstr>
      <vt:lpstr>Sheet3</vt:lpstr>
      <vt:lpstr>Sheet5</vt:lpstr>
      <vt:lpstr>Raw</vt:lpstr>
      <vt:lpstr>Vulnerability and Equity</vt:lpstr>
      <vt:lpstr>Housing Stability</vt:lpstr>
      <vt:lpstr>Human Capital and Access</vt:lpstr>
      <vt:lpstr>Demographic Resilience</vt:lpstr>
      <vt:lpstr>Economic Strength2</vt:lpstr>
      <vt:lpstr>Economic Diversity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Loehr, Connor J.</dc:creator>
  <cp:lastModifiedBy>Loehr, Connor J.</cp:lastModifiedBy>
  <dcterms:created xsi:type="dcterms:W3CDTF">2025-10-18T21:48:51Z</dcterms:created>
  <dcterms:modified xsi:type="dcterms:W3CDTF">2025-12-09T10:42:42Z</dcterms:modified>
</cp:coreProperties>
</file>